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30" firstSheet="2" activeTab="5"/>
  </bookViews>
  <sheets>
    <sheet name="Kategori" sheetId="1" state="hidden" r:id="rId1"/>
    <sheet name="Januari" sheetId="2" r:id="rId2"/>
    <sheet name="Februari" sheetId="3" r:id="rId3"/>
    <sheet name="Maret" sheetId="4" r:id="rId4"/>
    <sheet name="April" sheetId="5" r:id="rId5"/>
    <sheet name="Mei" sheetId="6" r:id="rId6"/>
    <sheet name="Juni" sheetId="7" r:id="rId7"/>
    <sheet name="Juli" sheetId="8" r:id="rId8"/>
    <sheet name="Agustus" sheetId="9" r:id="rId9"/>
    <sheet name="September" sheetId="10" r:id="rId10"/>
    <sheet name="Oktober" sheetId="11" r:id="rId11"/>
    <sheet name="November" sheetId="12" r:id="rId12"/>
    <sheet name="Desember" sheetId="13" r:id="rId13"/>
    <sheet name="Dashboard" sheetId="14" r:id="rId14"/>
    <sheet name="Tabungan nikah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<sst xmlns="http://schemas.openxmlformats.org/spreadsheetml/2006/main" count="219" uniqueCount="57">
  <si>
    <t>Daftar Kategori</t>
  </si>
  <si>
    <t>Gaji</t>
  </si>
  <si>
    <t>Bonus</t>
  </si>
  <si>
    <t>Makan</t>
  </si>
  <si>
    <t>Transport</t>
  </si>
  <si>
    <t>Belanja</t>
  </si>
  <si>
    <t>Tagihan</t>
  </si>
  <si>
    <t>Nongkrong</t>
  </si>
  <si>
    <t>Hiburan</t>
  </si>
  <si>
    <t>pulsa/kuota</t>
  </si>
  <si>
    <t>Tabungan</t>
  </si>
  <si>
    <t>Lainnya</t>
  </si>
  <si>
    <t>Tanggal</t>
  </si>
  <si>
    <t>Jenis</t>
  </si>
  <si>
    <t>Kategori</t>
  </si>
  <si>
    <t>Deskripsi</t>
  </si>
  <si>
    <t>Nominal</t>
  </si>
  <si>
    <t>Saldo Berjalan</t>
  </si>
  <si>
    <t>SUMMARY</t>
  </si>
  <si>
    <t>Total Pemasukan</t>
  </si>
  <si>
    <t>Total Pengeluaran</t>
  </si>
  <si>
    <t>Saldo Bulanan</t>
  </si>
  <si>
    <t>Pengeluaran Terbesar</t>
  </si>
  <si>
    <t>Kategori Terboros</t>
  </si>
  <si>
    <t>masuk</t>
  </si>
  <si>
    <t>saldo seabank</t>
  </si>
  <si>
    <t>keluar</t>
  </si>
  <si>
    <t>jajan dinda margando</t>
  </si>
  <si>
    <t>jajan rafli kopi</t>
  </si>
  <si>
    <t>jajan tanatap cofee</t>
  </si>
  <si>
    <t>jajan warkolas</t>
  </si>
  <si>
    <t>rafli beli kuota</t>
  </si>
  <si>
    <t>dinda jajan</t>
  </si>
  <si>
    <t>rafli jajan</t>
  </si>
  <si>
    <t>kredivo rafli &amp; dinda</t>
  </si>
  <si>
    <t>dinda mines</t>
  </si>
  <si>
    <t>Dashboard Keuangan Tahunan</t>
  </si>
  <si>
    <t>Bulan</t>
  </si>
  <si>
    <t>Pemasukan</t>
  </si>
  <si>
    <t>Pengeluaran</t>
  </si>
  <si>
    <t>Saldo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</si>
  <si>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</si>
  <si>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</si>
  <si>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</si>
  <si>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</si>
  <si>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</si>
  <si>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</si>
  <si>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</si>
  <si>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</si>
  <si>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</si>
  <si>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</si>
  <si>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</si>
  <si>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</si>
  <si>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NIKAH 2028 AMIINNN</t>
  </si>
  <si>
    <t>BULAN</t>
  </si>
  <si>
    <t>SALDO</t>
  </si>
  <si>
    <t>TOTAL SALDO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</si>
</sst>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Rp-421]#,##0;\-[$Rp-421]#,##0"/>
    <numFmt numFmtId="179" formatCode="[$Rp-421]#,##0_);[Red]\([$Rp-421]#,##0\)"/>
    <numFmt numFmtId="180" formatCode="[$-809]dd\ mmmm\ yyyy;@"/>
    <numFmt numFmtId="181" formatCode="&quot;Rp&quot;#,##0"/>
  </numFmts>
  <fonts count="23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178" fontId="0" fillId="0" borderId="0" xfId="0" applyNumberFormat="1"/>
    <xf numFmtId="0" fontId="0" fillId="2" borderId="0" xfId="0" applyFill="1"/>
    <xf numFmtId="178" fontId="0" fillId="2" borderId="0" xfId="0" applyNumberFormat="1" applyFill="1"/>
    <xf numFmtId="0" fontId="2" fillId="0" borderId="0" xfId="0" applyFont="1"/>
    <xf numFmtId="0" fontId="3" fillId="0" borderId="0" xfId="0" applyFont="1"/>
    <xf numFmtId="179" fontId="0" fillId="0" borderId="0" xfId="0" applyNumberFormat="1" applyFont="1" applyFill="1" applyAlignment="1"/>
    <xf numFmtId="180" fontId="0" fillId="0" borderId="0" xfId="0" applyNumberFormat="1"/>
    <xf numFmtId="181" fontId="0" fillId="0" borderId="0" xfId="0" applyNumberFormat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181" fontId="0" fillId="0" borderId="1" xfId="0" applyNumberFormat="1" applyBorder="1"/>
    <xf numFmtId="0" fontId="0" fillId="4" borderId="1" xfId="0" applyFill="1" applyBorder="1"/>
    <xf numFmtId="0" fontId="0" fillId="0" borderId="1" xfId="0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181" formatCode="&quot;Rp&quot;#,##0"/>
    </dxf>
    <dxf>
      <numFmt numFmtId="181" formatCode="&quot;Rp&quot;#,##0"/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81" formatCode="&quot;Rp&quot;#,##0"/>
    </dxf>
    <dxf>
      <numFmt numFmtId="178" formatCode="[$Rp-421]#,##0;\-[$Rp-421]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Trend Saldo Bulanan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Saldo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Dashboard!$A$4:$A$15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Dashboard!$D$4:$D$15</c:f>
              <c:numCache>
                <c:formatCode>[$Rp-421]#,##0_);[Red]\([$Rp-421]#,##0\)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4522900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[$Rp-421]#,##0_);[Red]\([$Rp-421]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73252d-90c3-48f4-9d59-0adc5858dab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Pengeluaran Tahunan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Dashboard!$C$3</c:f>
              <c:strCache>
                <c:ptCount val="1"/>
                <c:pt idx="0">
                  <c:v>Pengeluaran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Pt>
            <c:idx val="6"/>
            <c:bubble3D val="0"/>
            <c:spPr>
              <a:ln>
                <a:noFill/>
                <a:prstDash val="solid"/>
              </a:ln>
            </c:spPr>
          </c:dPt>
          <c:dPt>
            <c:idx val="7"/>
            <c:bubble3D val="0"/>
            <c:spPr>
              <a:ln>
                <a:noFill/>
                <a:prstDash val="solid"/>
              </a:ln>
            </c:spPr>
          </c:dPt>
          <c:dPt>
            <c:idx val="8"/>
            <c:bubble3D val="0"/>
            <c:spPr>
              <a:ln>
                <a:noFill/>
                <a:prstDash val="solid"/>
              </a:ln>
            </c:spPr>
          </c:dPt>
          <c:dPt>
            <c:idx val="9"/>
            <c:bubble3D val="0"/>
            <c:spPr>
              <a:ln>
                <a:noFill/>
                <a:prstDash val="solid"/>
              </a:ln>
            </c:spPr>
          </c:dPt>
          <c:dPt>
            <c:idx val="10"/>
            <c:bubble3D val="0"/>
            <c:spPr>
              <a:ln>
                <a:noFill/>
                <a:prstDash val="solid"/>
              </a:ln>
            </c:spPr>
          </c:dPt>
          <c:dPt>
            <c:idx val="1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Dashboard!$A$4:$A$15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Dashboard!$C$4:$C$15</c:f>
              <c:numCache>
                <c:formatCode>[$Rp-421]#,##0_);[Red]\([$Rp-421]#,##0\)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2047100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ffe10f-71b6-4182-86fd-f7e8af9a352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2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5934075" y="4572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400000" cy="2700000"/>
    <xdr:graphicFrame>
      <xdr:nvGraphicFramePr>
        <xdr:cNvPr id="3" name="Chart 2"/>
        <xdr:cNvGraphicFramePr/>
      </xdr:nvGraphicFramePr>
      <xdr:xfrm>
        <a:off x="5934075" y="36957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9" name="Table9" displayName="Table9" ref="A1:F31" totalsRowShown="0">
  <tableColumns count="6">
    <tableColumn id="1" name="Tanggal"/>
    <tableColumn id="2" name="Jenis"/>
    <tableColumn id="3" name="Kategori"/>
    <tableColumn id="4" name="Deskripsi"/>
    <tableColumn id="5" name="Nominal" dataDxfId="0"/>
    <tableColumn id="6" name="Saldo Berjalan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1" name="Table9_12" displayName="Table9_12" ref="A1:F31" totalsRowShown="0">
  <tableColumns count="6">
    <tableColumn id="1" name="Tanggal"/>
    <tableColumn id="2" name="Jenis"/>
    <tableColumn id="3" name="Kategori"/>
    <tableColumn id="4" name="Deskripsi"/>
    <tableColumn id="5" name="Nominal" dataDxfId="4"/>
    <tableColumn id="6" name="Saldo Berjalan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2" name="Table9_13" displayName="Table9_13" ref="A1:F31" totalsRowShown="0">
  <tableColumns count="6">
    <tableColumn id="1" name="Tanggal"/>
    <tableColumn id="2" name="Jenis"/>
    <tableColumn id="3" name="Kategori"/>
    <tableColumn id="4" name="Deskripsi"/>
    <tableColumn id="5" name="Nominal" dataDxfId="6"/>
    <tableColumn id="6" name="Saldo Berjalan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3" name="Table9_14" displayName="Table9_14" ref="A1:F31" totalsRowShown="0">
  <tableColumns count="6">
    <tableColumn id="1" name="Tanggal"/>
    <tableColumn id="2" name="Jenis"/>
    <tableColumn id="3" name="Kategori"/>
    <tableColumn id="4" name="Deskripsi"/>
    <tableColumn id="5" name="Nominal" dataDxfId="8"/>
    <tableColumn id="6" name="Saldo Berjalan" dataDxfId="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0" name="Table9_11" displayName="Table9_11" ref="A1:F31" totalsRowShown="0">
  <tableColumns count="6">
    <tableColumn id="1" name="Tanggal"/>
    <tableColumn id="2" name="Jenis"/>
    <tableColumn id="3" name="Kategori"/>
    <tableColumn id="4" name="Deskripsi"/>
    <tableColumn id="5" name="Nominal" dataDxfId="10"/>
    <tableColumn id="6" name="Saldo Berjalan" dataDxfId="1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4" name="Table9_15" displayName="Table9_15" ref="A1:F31" totalsRowShown="0">
  <tableColumns count="6">
    <tableColumn id="1" name="Tanggal"/>
    <tableColumn id="2" name="Jenis"/>
    <tableColumn id="3" name="Kategori"/>
    <tableColumn id="4" name="Deskripsi"/>
    <tableColumn id="5" name="Nominal" dataDxfId="12"/>
    <tableColumn id="6" name="Saldo Berjalan" dataDxfId="1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5" name="Table9_16" displayName="Table9_16" ref="A1:F31" totalsRowShown="0">
  <tableColumns count="6">
    <tableColumn id="1" name="Tanggal"/>
    <tableColumn id="2" name="Jenis"/>
    <tableColumn id="3" name="Kategori"/>
    <tableColumn id="4" name="Deskripsi"/>
    <tableColumn id="5" name="Nominal" dataDxfId="14"/>
    <tableColumn id="6" name="Saldo Berjalan" dataDxfId="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6" name="Table9_17" displayName="Table9_17" ref="A1:F31" totalsRowShown="0">
  <tableColumns count="6">
    <tableColumn id="1" name="Tanggal"/>
    <tableColumn id="2" name="Jenis"/>
    <tableColumn id="3" name="Kategori"/>
    <tableColumn id="4" name="Deskripsi"/>
    <tableColumn id="5" name="Nominal" dataDxfId="16"/>
    <tableColumn id="6" name="Saldo Berjalan" dataDxf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7" name="Table9_18" displayName="Table9_18" ref="A1:F31" totalsRowShown="0">
  <tableColumns count="6">
    <tableColumn id="1" name="Tanggal"/>
    <tableColumn id="2" name="Jenis"/>
    <tableColumn id="3" name="Kategori"/>
    <tableColumn id="4" name="Deskripsi"/>
    <tableColumn id="5" name="Nominal" dataDxfId="18"/>
    <tableColumn id="6" name="Saldo Berjalan" dataDxfId="19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8" name="Table9_19" displayName="Table9_19" ref="A1:F31" totalsRowShown="0">
  <tableColumns count="6">
    <tableColumn id="1" name="Tanggal"/>
    <tableColumn id="2" name="Jenis"/>
    <tableColumn id="3" name="Kategori"/>
    <tableColumn id="4" name="Deskripsi"/>
    <tableColumn id="5" name="Nominal" dataDxfId="20"/>
    <tableColumn id="6" name="Saldo Berjalan" dataDxfId="2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9" name="Table9_20" displayName="Table9_20" ref="A1:F31" totalsRowShown="0">
  <tableColumns count="6">
    <tableColumn id="1" name="Tanggal"/>
    <tableColumn id="2" name="Jenis"/>
    <tableColumn id="3" name="Kategori"/>
    <tableColumn id="4" name="Deskripsi"/>
    <tableColumn id="5" name="Nominal" dataDxfId="22"/>
    <tableColumn id="6" name="Saldo Berjalan" dataDxfId="2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20" name="Table9_21" displayName="Table9_21" ref="A1:F31" totalsRowShown="0">
  <tableColumns count="6">
    <tableColumn id="1" name="Tanggal"/>
    <tableColumn id="2" name="Jenis"/>
    <tableColumn id="3" name="Kategori"/>
    <tableColumn id="4" name="Deskripsi"/>
    <tableColumn id="5" name="Nominal" dataDxfId="24"/>
    <tableColumn id="6" name="Saldo Berjalan" dataDxfId="25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21" name="Table21" displayName="Table21" ref="A3:D15" totalsRowShown="0">
  <tableColumns count="4">
    <tableColumn id="1" name="Bulan"/>
    <tableColumn id="2" name="Pemasukan"/>
    <tableColumn id="3" name="Pengeluaran"/>
    <tableColumn id="4" name="Sal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22" name="Table22" displayName="Table22" ref="A3:B16" totalsRowShown="0">
  <tableColumns count="2">
    <tableColumn id="1" name="BULAN"/>
    <tableColumn id="2" name="SALDO" dataDxfId="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1" sqref="A11"/>
    </sheetView>
  </sheetViews>
  <sheetFormatPr defaultColWidth="9" defaultRowHeight="15"/>
  <sheetData>
    <row r="1" spans="1:1">
      <c r="A1" s="6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G34" sqref="G34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  <col min="8" max="8" width="22.1428571428571" customWidth="1"/>
    <col min="9" max="9" width="6.14285714285714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66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 t="str">
        <f t="shared" si="0"/>
        <v/>
      </c>
    </row>
    <row r="33" spans="5:6">
      <c r="E33" s="9"/>
      <c r="F33" s="9" t="str">
        <f t="shared" si="0"/>
        <v/>
      </c>
    </row>
    <row r="34" spans="5:6">
      <c r="E34" s="9"/>
      <c r="F34" s="9" t="str">
        <f t="shared" si="0"/>
        <v/>
      </c>
    </row>
    <row r="35" spans="5:6">
      <c r="E35" s="9"/>
      <c r="F35" s="9" t="str">
        <f t="shared" si="0"/>
        <v/>
      </c>
    </row>
    <row r="36" spans="5:6">
      <c r="E36" s="9"/>
      <c r="F36" s="9" t="str">
        <f t="shared" si="0"/>
        <v/>
      </c>
    </row>
    <row r="37" spans="5:6">
      <c r="E37" s="9"/>
      <c r="F37" s="9" t="str">
        <f t="shared" si="0"/>
        <v/>
      </c>
    </row>
    <row r="38" spans="5:6">
      <c r="E38" s="9"/>
      <c r="F38" s="9" t="str">
        <f t="shared" si="0"/>
        <v/>
      </c>
    </row>
    <row r="39" spans="5:6">
      <c r="E39" s="9"/>
      <c r="F39" s="9" t="str">
        <f t="shared" si="0"/>
        <v/>
      </c>
    </row>
    <row r="40" spans="5:6">
      <c r="E40" s="9"/>
      <c r="F40" s="9" t="str">
        <f t="shared" si="0"/>
        <v/>
      </c>
    </row>
    <row r="41" spans="5:6">
      <c r="E41" s="9"/>
      <c r="F41" s="9" t="str">
        <f t="shared" si="0"/>
        <v/>
      </c>
    </row>
    <row r="42" spans="5:6">
      <c r="E42" s="9"/>
      <c r="F42" s="9" t="str">
        <f t="shared" si="0"/>
        <v/>
      </c>
    </row>
    <row r="43" spans="5:6">
      <c r="E43" s="9"/>
      <c r="F43" s="9" t="str">
        <f t="shared" si="0"/>
        <v/>
      </c>
    </row>
    <row r="44" spans="5:6">
      <c r="E44" s="9"/>
      <c r="F44" s="9" t="str">
        <f t="shared" si="0"/>
        <v/>
      </c>
    </row>
    <row r="45" spans="5:6">
      <c r="E45" s="9"/>
      <c r="F45" s="9" t="str">
        <f t="shared" si="0"/>
        <v/>
      </c>
    </row>
    <row r="46" spans="5:6">
      <c r="E46" s="9"/>
      <c r="F46" s="9" t="str">
        <f t="shared" si="0"/>
        <v/>
      </c>
    </row>
    <row r="47" spans="5:6">
      <c r="E47" s="9"/>
      <c r="F47" s="9" t="str">
        <f t="shared" si="0"/>
        <v/>
      </c>
    </row>
    <row r="48" spans="5:6">
      <c r="E48" s="9"/>
      <c r="F48" s="9" t="str">
        <f t="shared" si="0"/>
        <v/>
      </c>
    </row>
    <row r="49" spans="5:6">
      <c r="E49" s="9"/>
      <c r="F49" s="9" t="str">
        <f t="shared" si="0"/>
        <v/>
      </c>
    </row>
    <row r="50" spans="5:6">
      <c r="E50" s="9"/>
      <c r="F50" s="9" t="str">
        <f t="shared" si="0"/>
        <v/>
      </c>
    </row>
    <row r="51" spans="5:6">
      <c r="E51" s="9"/>
      <c r="F51" s="9" t="str">
        <f t="shared" si="0"/>
        <v/>
      </c>
    </row>
    <row r="52" spans="5:6">
      <c r="E52" s="9"/>
      <c r="F52" s="9" t="str">
        <f t="shared" si="0"/>
        <v/>
      </c>
    </row>
    <row r="53" spans="5:6">
      <c r="E53" s="9"/>
      <c r="F53" s="9" t="str">
        <f t="shared" si="0"/>
        <v/>
      </c>
    </row>
    <row r="54" spans="5:6">
      <c r="E54" s="9"/>
      <c r="F54" s="9" t="str">
        <f t="shared" si="0"/>
        <v/>
      </c>
    </row>
    <row r="55" spans="5:6">
      <c r="E55" s="9"/>
      <c r="F55" s="9" t="str">
        <f t="shared" si="0"/>
        <v/>
      </c>
    </row>
    <row r="56" spans="5:6">
      <c r="E56" s="9"/>
      <c r="F56" s="9" t="str">
        <f t="shared" si="0"/>
        <v/>
      </c>
    </row>
    <row r="57" spans="5:6">
      <c r="E57" s="9"/>
      <c r="F57" s="9" t="str">
        <f t="shared" si="0"/>
        <v/>
      </c>
    </row>
    <row r="58" spans="5:6">
      <c r="E58" s="9"/>
      <c r="F58" s="9" t="str">
        <f t="shared" si="0"/>
        <v/>
      </c>
    </row>
    <row r="59" spans="5:6">
      <c r="E59" s="9"/>
      <c r="F59" s="9" t="str">
        <f t="shared" si="0"/>
        <v/>
      </c>
    </row>
    <row r="60" spans="5:6">
      <c r="E60" s="9"/>
      <c r="F60" s="9" t="str">
        <f t="shared" si="0"/>
        <v/>
      </c>
    </row>
    <row r="61" spans="5:6">
      <c r="E61" s="9"/>
      <c r="F61" s="9" t="str">
        <f t="shared" si="0"/>
        <v/>
      </c>
    </row>
    <row r="62" spans="5:6">
      <c r="E62" s="9"/>
      <c r="F62" s="9" t="str">
        <f t="shared" si="0"/>
        <v/>
      </c>
    </row>
    <row r="63" spans="5:6">
      <c r="E63" s="9"/>
      <c r="F63" s="9" t="str">
        <f t="shared" si="0"/>
        <v/>
      </c>
    </row>
    <row r="64" spans="5:6">
      <c r="E64" s="9"/>
      <c r="F64" s="9" t="str">
        <f t="shared" si="0"/>
        <v/>
      </c>
    </row>
    <row r="65" spans="5:6">
      <c r="E65" s="9"/>
      <c r="F65" s="9" t="str">
        <f t="shared" si="0"/>
        <v/>
      </c>
    </row>
    <row r="66" spans="5:6">
      <c r="E66" s="9"/>
      <c r="F66" s="9" t="str">
        <f t="shared" si="0"/>
        <v/>
      </c>
    </row>
    <row r="67" spans="5:6">
      <c r="E67" s="9"/>
      <c r="F67" s="9" t="str">
        <f t="shared" ref="F67:F130" si="1">IF(B67="","",F66+IF(B67="Masuk",E67,-E67))</f>
        <v/>
      </c>
    </row>
    <row r="68" spans="5:6">
      <c r="E68" s="9"/>
      <c r="F68" s="9" t="str">
        <f t="shared" si="1"/>
        <v/>
      </c>
    </row>
    <row r="69" spans="5:6">
      <c r="E69" s="9"/>
      <c r="F69" s="9" t="str">
        <f t="shared" si="1"/>
        <v/>
      </c>
    </row>
    <row r="70" spans="5:6">
      <c r="E70" s="9"/>
      <c r="F70" s="9" t="str">
        <f t="shared" si="1"/>
        <v/>
      </c>
    </row>
    <row r="71" spans="5:6">
      <c r="E71" s="9"/>
      <c r="F71" s="9" t="str">
        <f t="shared" si="1"/>
        <v/>
      </c>
    </row>
    <row r="72" spans="5:6">
      <c r="E72" s="9"/>
      <c r="F72" s="9" t="str">
        <f t="shared" si="1"/>
        <v/>
      </c>
    </row>
    <row r="73" spans="5:6">
      <c r="E73" s="9"/>
      <c r="F73" s="9" t="str">
        <f t="shared" si="1"/>
        <v/>
      </c>
    </row>
    <row r="74" spans="5:6">
      <c r="E74" s="9"/>
      <c r="F74" s="9" t="str">
        <f t="shared" si="1"/>
        <v/>
      </c>
    </row>
    <row r="75" spans="5:6">
      <c r="E75" s="9"/>
      <c r="F75" s="9" t="str">
        <f t="shared" si="1"/>
        <v/>
      </c>
    </row>
    <row r="76" spans="5:6">
      <c r="E76" s="9"/>
      <c r="F76" s="9" t="str">
        <f t="shared" si="1"/>
        <v/>
      </c>
    </row>
    <row r="77" spans="5:6">
      <c r="E77" s="9"/>
      <c r="F77" s="9" t="str">
        <f t="shared" si="1"/>
        <v/>
      </c>
    </row>
    <row r="78" spans="5:6">
      <c r="E78" s="9"/>
      <c r="F78" s="9" t="str">
        <f t="shared" si="1"/>
        <v/>
      </c>
    </row>
    <row r="79" spans="5:6">
      <c r="E79" s="9"/>
      <c r="F79" s="9" t="str">
        <f t="shared" si="1"/>
        <v/>
      </c>
    </row>
    <row r="80" spans="5:6">
      <c r="E80" s="9"/>
      <c r="F80" s="9" t="str">
        <f t="shared" si="1"/>
        <v/>
      </c>
    </row>
    <row r="81" spans="5:6">
      <c r="E81" s="9"/>
      <c r="F81" s="9" t="str">
        <f t="shared" si="1"/>
        <v/>
      </c>
    </row>
    <row r="82" spans="5:6">
      <c r="E82" s="9"/>
      <c r="F82" s="9" t="str">
        <f t="shared" si="1"/>
        <v/>
      </c>
    </row>
    <row r="83" spans="5:6">
      <c r="E83" s="9"/>
      <c r="F83" s="9" t="str">
        <f t="shared" si="1"/>
        <v/>
      </c>
    </row>
    <row r="84" spans="5:6">
      <c r="E84" s="9"/>
      <c r="F84" s="9" t="str">
        <f t="shared" si="1"/>
        <v/>
      </c>
    </row>
    <row r="85" spans="5:6">
      <c r="E85" s="9"/>
      <c r="F85" s="9" t="str">
        <f t="shared" si="1"/>
        <v/>
      </c>
    </row>
    <row r="86" spans="5:6">
      <c r="E86" s="9"/>
      <c r="F86" s="9" t="str">
        <f t="shared" si="1"/>
        <v/>
      </c>
    </row>
    <row r="87" spans="5:6">
      <c r="E87" s="9"/>
      <c r="F87" s="9" t="str">
        <f t="shared" si="1"/>
        <v/>
      </c>
    </row>
    <row r="88" spans="5:6">
      <c r="E88" s="9"/>
      <c r="F88" s="9" t="str">
        <f t="shared" si="1"/>
        <v/>
      </c>
    </row>
    <row r="89" spans="5:6">
      <c r="E89" s="9"/>
      <c r="F89" s="9" t="str">
        <f t="shared" si="1"/>
        <v/>
      </c>
    </row>
    <row r="90" spans="5:6">
      <c r="E90" s="9"/>
      <c r="F90" s="9" t="str">
        <f t="shared" si="1"/>
        <v/>
      </c>
    </row>
    <row r="91" spans="5:6">
      <c r="E91" s="9"/>
      <c r="F91" s="9" t="str">
        <f t="shared" si="1"/>
        <v/>
      </c>
    </row>
    <row r="92" spans="5:6">
      <c r="E92" s="9"/>
      <c r="F92" s="9" t="str">
        <f t="shared" si="1"/>
        <v/>
      </c>
    </row>
    <row r="93" spans="5:6">
      <c r="E93" s="9"/>
      <c r="F93" s="9" t="str">
        <f t="shared" si="1"/>
        <v/>
      </c>
    </row>
    <row r="94" spans="5:6">
      <c r="E94" s="9"/>
      <c r="F94" s="9" t="str">
        <f t="shared" si="1"/>
        <v/>
      </c>
    </row>
    <row r="95" spans="5:6">
      <c r="E95" s="9"/>
      <c r="F95" s="9" t="str">
        <f t="shared" si="1"/>
        <v/>
      </c>
    </row>
    <row r="96" spans="5:6">
      <c r="E96" s="9"/>
      <c r="F96" s="9" t="str">
        <f t="shared" si="1"/>
        <v/>
      </c>
    </row>
    <row r="97" spans="5:6">
      <c r="E97" s="9"/>
      <c r="F97" s="9" t="str">
        <f t="shared" si="1"/>
        <v/>
      </c>
    </row>
    <row r="98" spans="5:6">
      <c r="E98" s="9"/>
      <c r="F98" s="9" t="str">
        <f t="shared" si="1"/>
        <v/>
      </c>
    </row>
    <row r="99" spans="5:6">
      <c r="E99" s="9"/>
      <c r="F99" s="9" t="str">
        <f t="shared" si="1"/>
        <v/>
      </c>
    </row>
    <row r="100" spans="5:6">
      <c r="E100" s="9"/>
      <c r="F100" s="9" t="str">
        <f t="shared" si="1"/>
        <v/>
      </c>
    </row>
    <row r="101" spans="5:6">
      <c r="E101" s="9"/>
      <c r="F101" s="9" t="str">
        <f t="shared" si="1"/>
        <v/>
      </c>
    </row>
    <row r="102" spans="5:6">
      <c r="E102" s="9"/>
      <c r="F102" s="9" t="str">
        <f t="shared" si="1"/>
        <v/>
      </c>
    </row>
    <row r="103" spans="5:6">
      <c r="E103" s="9"/>
      <c r="F103" s="9" t="str">
        <f t="shared" si="1"/>
        <v/>
      </c>
    </row>
    <row r="104" spans="5:6">
      <c r="E104" s="9"/>
      <c r="F104" s="9" t="str">
        <f t="shared" si="1"/>
        <v/>
      </c>
    </row>
    <row r="105" spans="5:6">
      <c r="E105" s="9"/>
      <c r="F105" s="9" t="str">
        <f t="shared" si="1"/>
        <v/>
      </c>
    </row>
    <row r="106" spans="5:6">
      <c r="E106" s="9"/>
      <c r="F106" s="9" t="str">
        <f t="shared" si="1"/>
        <v/>
      </c>
    </row>
    <row r="107" spans="5:6">
      <c r="E107" s="9"/>
      <c r="F107" s="9" t="str">
        <f t="shared" si="1"/>
        <v/>
      </c>
    </row>
    <row r="108" spans="5:6">
      <c r="E108" s="9"/>
      <c r="F108" s="9" t="str">
        <f t="shared" si="1"/>
        <v/>
      </c>
    </row>
    <row r="109" spans="5:6">
      <c r="E109" s="9"/>
      <c r="F109" s="9" t="str">
        <f t="shared" si="1"/>
        <v/>
      </c>
    </row>
    <row r="110" spans="5:6">
      <c r="E110" s="9"/>
      <c r="F110" s="9" t="str">
        <f t="shared" si="1"/>
        <v/>
      </c>
    </row>
    <row r="111" spans="5:6">
      <c r="E111" s="9"/>
      <c r="F111" s="9" t="str">
        <f t="shared" si="1"/>
        <v/>
      </c>
    </row>
    <row r="112" spans="5:6">
      <c r="E112" s="9"/>
      <c r="F112" s="9" t="str">
        <f t="shared" si="1"/>
        <v/>
      </c>
    </row>
    <row r="113" spans="5:6">
      <c r="E113" s="9"/>
      <c r="F113" s="9" t="str">
        <f t="shared" si="1"/>
        <v/>
      </c>
    </row>
    <row r="114" spans="5:6">
      <c r="E114" s="9"/>
      <c r="F114" s="9" t="str">
        <f t="shared" si="1"/>
        <v/>
      </c>
    </row>
    <row r="115" spans="5:6">
      <c r="E115" s="9"/>
      <c r="F115" s="9" t="str">
        <f t="shared" si="1"/>
        <v/>
      </c>
    </row>
    <row r="116" spans="5:6">
      <c r="E116" s="9"/>
      <c r="F116" s="9" t="str">
        <f t="shared" si="1"/>
        <v/>
      </c>
    </row>
    <row r="117" spans="5:6">
      <c r="E117" s="9"/>
      <c r="F117" s="9" t="str">
        <f t="shared" si="1"/>
        <v/>
      </c>
    </row>
    <row r="118" spans="5:6">
      <c r="E118" s="9"/>
      <c r="F118" s="9" t="str">
        <f t="shared" si="1"/>
        <v/>
      </c>
    </row>
    <row r="119" spans="5:6">
      <c r="E119" s="9"/>
      <c r="F119" s="9" t="str">
        <f t="shared" si="1"/>
        <v/>
      </c>
    </row>
    <row r="120" spans="5:6">
      <c r="E120" s="9"/>
      <c r="F120" s="9" t="str">
        <f t="shared" si="1"/>
        <v/>
      </c>
    </row>
    <row r="121" spans="5:6">
      <c r="E121" s="9"/>
      <c r="F121" s="9" t="str">
        <f t="shared" si="1"/>
        <v/>
      </c>
    </row>
    <row r="122" spans="5:6">
      <c r="E122" s="9"/>
      <c r="F122" s="9" t="str">
        <f t="shared" si="1"/>
        <v/>
      </c>
    </row>
    <row r="123" spans="5:6">
      <c r="E123" s="9"/>
      <c r="F123" s="9" t="str">
        <f t="shared" si="1"/>
        <v/>
      </c>
    </row>
    <row r="124" spans="5:6">
      <c r="E124" s="9"/>
      <c r="F124" s="9" t="str">
        <f t="shared" si="1"/>
        <v/>
      </c>
    </row>
    <row r="125" spans="5:6">
      <c r="E125" s="9"/>
      <c r="F125" s="9" t="str">
        <f t="shared" si="1"/>
        <v/>
      </c>
    </row>
    <row r="126" spans="5:6">
      <c r="E126" s="9"/>
      <c r="F126" s="9" t="str">
        <f t="shared" si="1"/>
        <v/>
      </c>
    </row>
    <row r="127" spans="5:6">
      <c r="E127" s="9"/>
      <c r="F127" s="9" t="str">
        <f t="shared" si="1"/>
        <v/>
      </c>
    </row>
    <row r="128" spans="5:6">
      <c r="E128" s="9"/>
      <c r="F128" s="9" t="str">
        <f t="shared" si="1"/>
        <v/>
      </c>
    </row>
    <row r="129" spans="5:6">
      <c r="E129" s="9"/>
      <c r="F129" s="9" t="str">
        <f t="shared" si="1"/>
        <v/>
      </c>
    </row>
    <row r="130" spans="5:6">
      <c r="E130" s="9"/>
      <c r="F130" s="9" t="str">
        <f t="shared" si="1"/>
        <v/>
      </c>
    </row>
    <row r="131" spans="5:6">
      <c r="E131" s="9"/>
      <c r="F131" s="9" t="str">
        <f t="shared" ref="F131:F194" si="2">IF(B131="","",F130+IF(B131="Masuk",E131,-E131))</f>
        <v/>
      </c>
    </row>
    <row r="132" spans="5:6">
      <c r="E132" s="9"/>
      <c r="F132" s="9" t="str">
        <f t="shared" si="2"/>
        <v/>
      </c>
    </row>
    <row r="133" spans="5:6">
      <c r="E133" s="9"/>
      <c r="F133" s="9" t="str">
        <f t="shared" si="2"/>
        <v/>
      </c>
    </row>
    <row r="134" spans="5:6">
      <c r="E134" s="9"/>
      <c r="F134" s="9" t="str">
        <f t="shared" si="2"/>
        <v/>
      </c>
    </row>
    <row r="135" spans="5:6">
      <c r="E135" s="9"/>
      <c r="F135" s="9" t="str">
        <f t="shared" si="2"/>
        <v/>
      </c>
    </row>
    <row r="136" spans="5:6">
      <c r="E136" s="9"/>
      <c r="F136" s="9" t="str">
        <f t="shared" si="2"/>
        <v/>
      </c>
    </row>
    <row r="137" spans="5:6">
      <c r="E137" s="9"/>
      <c r="F137" s="9" t="str">
        <f t="shared" si="2"/>
        <v/>
      </c>
    </row>
    <row r="138" spans="5:6">
      <c r="E138" s="9"/>
      <c r="F138" s="9" t="str">
        <f t="shared" si="2"/>
        <v/>
      </c>
    </row>
    <row r="139" spans="5:6">
      <c r="E139" s="9"/>
      <c r="F139" s="9" t="str">
        <f t="shared" si="2"/>
        <v/>
      </c>
    </row>
    <row r="140" spans="5:6">
      <c r="E140" s="9"/>
      <c r="F140" s="9" t="str">
        <f t="shared" si="2"/>
        <v/>
      </c>
    </row>
    <row r="141" spans="5:6">
      <c r="E141" s="9"/>
      <c r="F141" s="9" t="str">
        <f t="shared" si="2"/>
        <v/>
      </c>
    </row>
    <row r="142" spans="5:6">
      <c r="E142" s="9"/>
      <c r="F142" s="9" t="str">
        <f t="shared" si="2"/>
        <v/>
      </c>
    </row>
    <row r="143" spans="5:6">
      <c r="E143" s="9"/>
      <c r="F143" s="9" t="str">
        <f t="shared" si="2"/>
        <v/>
      </c>
    </row>
    <row r="144" spans="5:6">
      <c r="E144" s="9"/>
      <c r="F144" s="9" t="str">
        <f t="shared" si="2"/>
        <v/>
      </c>
    </row>
    <row r="145" spans="5:6">
      <c r="E145" s="9"/>
      <c r="F145" s="9" t="str">
        <f t="shared" si="2"/>
        <v/>
      </c>
    </row>
    <row r="146" spans="5:6">
      <c r="E146" s="9"/>
      <c r="F146" s="9" t="str">
        <f t="shared" si="2"/>
        <v/>
      </c>
    </row>
    <row r="147" spans="5:6">
      <c r="E147" s="9"/>
      <c r="F147" s="9" t="str">
        <f t="shared" si="2"/>
        <v/>
      </c>
    </row>
    <row r="148" spans="5:6">
      <c r="E148" s="9"/>
      <c r="F148" s="9" t="str">
        <f t="shared" si="2"/>
        <v/>
      </c>
    </row>
    <row r="149" spans="5:6">
      <c r="E149" s="9"/>
      <c r="F149" s="9" t="str">
        <f t="shared" si="2"/>
        <v/>
      </c>
    </row>
    <row r="150" spans="5:6">
      <c r="E150" s="9"/>
      <c r="F150" s="9" t="str">
        <f t="shared" si="2"/>
        <v/>
      </c>
    </row>
    <row r="151" spans="5:6">
      <c r="E151" s="9"/>
      <c r="F151" s="9" t="str">
        <f t="shared" si="2"/>
        <v/>
      </c>
    </row>
    <row r="152" spans="5:6">
      <c r="E152" s="9"/>
      <c r="F152" s="9" t="str">
        <f t="shared" si="2"/>
        <v/>
      </c>
    </row>
    <row r="153" spans="5:6">
      <c r="E153" s="9"/>
      <c r="F153" s="9" t="str">
        <f t="shared" si="2"/>
        <v/>
      </c>
    </row>
    <row r="154" spans="5:6">
      <c r="E154" s="9"/>
      <c r="F154" s="9" t="str">
        <f t="shared" si="2"/>
        <v/>
      </c>
    </row>
    <row r="155" spans="5:6">
      <c r="E155" s="9"/>
      <c r="F155" s="9" t="str">
        <f t="shared" si="2"/>
        <v/>
      </c>
    </row>
    <row r="156" spans="5:6">
      <c r="E156" s="9"/>
      <c r="F156" s="9" t="str">
        <f t="shared" si="2"/>
        <v/>
      </c>
    </row>
    <row r="157" spans="5:6">
      <c r="E157" s="9"/>
      <c r="F157" s="9" t="str">
        <f t="shared" si="2"/>
        <v/>
      </c>
    </row>
    <row r="158" spans="5:6">
      <c r="E158" s="9"/>
      <c r="F158" s="9" t="str">
        <f t="shared" si="2"/>
        <v/>
      </c>
    </row>
    <row r="159" spans="5:6">
      <c r="E159" s="9"/>
      <c r="F159" s="9" t="str">
        <f t="shared" si="2"/>
        <v/>
      </c>
    </row>
    <row r="160" spans="5:6">
      <c r="E160" s="9"/>
      <c r="F160" s="9" t="str">
        <f t="shared" si="2"/>
        <v/>
      </c>
    </row>
    <row r="161" spans="5:6">
      <c r="E161" s="9"/>
      <c r="F161" s="9" t="str">
        <f t="shared" si="2"/>
        <v/>
      </c>
    </row>
    <row r="162" spans="5:6">
      <c r="E162" s="9"/>
      <c r="F162" s="9" t="str">
        <f t="shared" si="2"/>
        <v/>
      </c>
    </row>
    <row r="163" spans="5:6">
      <c r="E163" s="9"/>
      <c r="F163" s="9" t="str">
        <f t="shared" si="2"/>
        <v/>
      </c>
    </row>
    <row r="164" spans="5:6">
      <c r="E164" s="9"/>
      <c r="F164" s="9" t="str">
        <f t="shared" si="2"/>
        <v/>
      </c>
    </row>
    <row r="165" spans="5:6">
      <c r="E165" s="9"/>
      <c r="F165" s="9" t="str">
        <f t="shared" si="2"/>
        <v/>
      </c>
    </row>
    <row r="166" spans="5:6">
      <c r="E166" s="9"/>
      <c r="F166" s="9" t="str">
        <f t="shared" si="2"/>
        <v/>
      </c>
    </row>
    <row r="167" spans="5:6">
      <c r="E167" s="9"/>
      <c r="F167" s="9" t="str">
        <f t="shared" si="2"/>
        <v/>
      </c>
    </row>
    <row r="168" spans="5:6">
      <c r="E168" s="9"/>
      <c r="F168" s="9" t="str">
        <f t="shared" si="2"/>
        <v/>
      </c>
    </row>
    <row r="169" spans="5:6">
      <c r="E169" s="9"/>
      <c r="F169" s="9" t="str">
        <f t="shared" si="2"/>
        <v/>
      </c>
    </row>
    <row r="170" spans="5:6">
      <c r="E170" s="9"/>
      <c r="F170" s="9" t="str">
        <f t="shared" si="2"/>
        <v/>
      </c>
    </row>
    <row r="171" spans="5:6">
      <c r="E171" s="9"/>
      <c r="F171" s="9" t="str">
        <f t="shared" si="2"/>
        <v/>
      </c>
    </row>
    <row r="172" spans="5:6">
      <c r="E172" s="9"/>
      <c r="F172" s="9" t="str">
        <f t="shared" si="2"/>
        <v/>
      </c>
    </row>
    <row r="173" spans="5:6">
      <c r="E173" s="9"/>
      <c r="F173" s="9" t="str">
        <f t="shared" si="2"/>
        <v/>
      </c>
    </row>
    <row r="174" spans="5:6">
      <c r="E174" s="9"/>
      <c r="F174" s="9" t="str">
        <f t="shared" si="2"/>
        <v/>
      </c>
    </row>
    <row r="175" spans="5:6">
      <c r="E175" s="9"/>
      <c r="F175" s="9" t="str">
        <f t="shared" si="2"/>
        <v/>
      </c>
    </row>
    <row r="176" spans="5:6">
      <c r="E176" s="9"/>
      <c r="F176" s="9" t="str">
        <f t="shared" si="2"/>
        <v/>
      </c>
    </row>
    <row r="177" spans="5:6">
      <c r="E177" s="9"/>
      <c r="F177" s="9" t="str">
        <f t="shared" si="2"/>
        <v/>
      </c>
    </row>
    <row r="178" spans="5:6">
      <c r="E178" s="9"/>
      <c r="F178" s="9" t="str">
        <f t="shared" si="2"/>
        <v/>
      </c>
    </row>
    <row r="179" spans="5:6">
      <c r="E179" s="9"/>
      <c r="F179" s="9" t="str">
        <f t="shared" si="2"/>
        <v/>
      </c>
    </row>
    <row r="180" spans="5:6">
      <c r="E180" s="9"/>
      <c r="F180" s="9" t="str">
        <f t="shared" si="2"/>
        <v/>
      </c>
    </row>
    <row r="181" spans="5:6">
      <c r="E181" s="9"/>
      <c r="F181" s="9" t="str">
        <f t="shared" si="2"/>
        <v/>
      </c>
    </row>
    <row r="182" spans="5:6">
      <c r="E182" s="9"/>
      <c r="F182" s="9" t="str">
        <f t="shared" si="2"/>
        <v/>
      </c>
    </row>
    <row r="183" spans="5:6">
      <c r="E183" s="9"/>
      <c r="F183" s="9" t="str">
        <f t="shared" si="2"/>
        <v/>
      </c>
    </row>
    <row r="184" spans="5:6">
      <c r="E184" s="9"/>
      <c r="F184" s="9" t="str">
        <f t="shared" si="2"/>
        <v/>
      </c>
    </row>
    <row r="185" spans="5:6">
      <c r="E185" s="9"/>
      <c r="F185" s="9" t="str">
        <f t="shared" si="2"/>
        <v/>
      </c>
    </row>
    <row r="186" spans="5:6">
      <c r="E186" s="9"/>
      <c r="F186" s="9" t="str">
        <f t="shared" si="2"/>
        <v/>
      </c>
    </row>
    <row r="187" spans="5:6">
      <c r="E187" s="9"/>
      <c r="F187" s="9" t="str">
        <f t="shared" si="2"/>
        <v/>
      </c>
    </row>
    <row r="188" spans="5:6">
      <c r="E188" s="9"/>
      <c r="F188" s="9" t="str">
        <f t="shared" si="2"/>
        <v/>
      </c>
    </row>
    <row r="189" spans="5:6">
      <c r="E189" s="9"/>
      <c r="F189" s="9" t="str">
        <f t="shared" si="2"/>
        <v/>
      </c>
    </row>
    <row r="190" spans="5:6">
      <c r="E190" s="9"/>
      <c r="F190" s="9" t="str">
        <f t="shared" si="2"/>
        <v/>
      </c>
    </row>
    <row r="191" spans="5:6">
      <c r="E191" s="9"/>
      <c r="F191" s="9" t="str">
        <f t="shared" si="2"/>
        <v/>
      </c>
    </row>
    <row r="192" spans="5:6">
      <c r="E192" s="9"/>
      <c r="F192" s="9" t="str">
        <f t="shared" si="2"/>
        <v/>
      </c>
    </row>
    <row r="193" spans="5:6">
      <c r="E193" s="9"/>
      <c r="F193" s="9" t="str">
        <f t="shared" si="2"/>
        <v/>
      </c>
    </row>
    <row r="194" spans="5:6">
      <c r="E194" s="9"/>
      <c r="F194" s="9" t="str">
        <f t="shared" si="2"/>
        <v/>
      </c>
    </row>
    <row r="195" spans="5:6">
      <c r="E195" s="9"/>
      <c r="F195" s="9" t="str">
        <f t="shared" ref="F195:F201" si="3">IF(B195="","",F194+IF(B195="Masuk",E195,-E195))</f>
        <v/>
      </c>
    </row>
    <row r="196" spans="5:6">
      <c r="E196" s="9"/>
      <c r="F196" s="9" t="str">
        <f t="shared" si="3"/>
        <v/>
      </c>
    </row>
    <row r="197" spans="5:6">
      <c r="E197" s="9"/>
      <c r="F197" s="9" t="str">
        <f t="shared" si="3"/>
        <v/>
      </c>
    </row>
    <row r="198" spans="5:6">
      <c r="E198" s="9"/>
      <c r="F198" s="9" t="str">
        <f t="shared" si="3"/>
        <v/>
      </c>
    </row>
    <row r="199" spans="5:6">
      <c r="E199" s="9"/>
      <c r="F199" s="9" t="str">
        <f t="shared" si="3"/>
        <v/>
      </c>
    </row>
    <row r="200" spans="5:6">
      <c r="E200" s="9"/>
      <c r="F200" s="9" t="str">
        <f t="shared" si="3"/>
        <v/>
      </c>
    </row>
    <row r="201" spans="5:6">
      <c r="E201" s="9"/>
      <c r="F201" s="9" t="str">
        <f t="shared" si="3"/>
        <v/>
      </c>
    </row>
  </sheetData>
  <mergeCells count="1">
    <mergeCell ref="H2:I2"/>
  </mergeCells>
  <conditionalFormatting sqref="A2:F201">
    <cfRule type="expression" dxfId="2" priority="1">
      <formula>$B2="Masuk"</formula>
    </cfRule>
    <cfRule type="expression" dxfId="3" priority="2">
      <formula>$B2="Keluar"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J16" sqref="J16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/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31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31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selection activeCell="H12" sqref="H12"/>
    </sheetView>
  </sheetViews>
  <sheetFormatPr defaultColWidth="9" defaultRowHeight="15"/>
  <cols>
    <col min="1" max="1" width="19.2857142857143" customWidth="1"/>
    <col min="2" max="2" width="15" customWidth="1"/>
    <col min="3" max="3" width="20" customWidth="1"/>
    <col min="4" max="4" width="35" customWidth="1"/>
    <col min="5" max="5" width="18" customWidth="1"/>
    <col min="6" max="6" width="20" customWidth="1"/>
    <col min="8" max="8" width="22.1428571428571" customWidth="1"/>
    <col min="9" max="9" width="12.2857142857143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>
        <v>46155</v>
      </c>
      <c r="B2" t="s">
        <v>24</v>
      </c>
      <c r="C2" t="s">
        <v>1</v>
      </c>
      <c r="D2" t="s">
        <v>25</v>
      </c>
      <c r="E2" s="9">
        <v>6570000</v>
      </c>
      <c r="F2" s="9">
        <f>IF(B2="Masuk",E2,-E2)</f>
        <v>6570000</v>
      </c>
      <c r="H2" s="10" t="s">
        <v>18</v>
      </c>
      <c r="I2" s="10"/>
    </row>
    <row r="3" spans="1:9">
      <c r="A3" s="8">
        <v>46155</v>
      </c>
      <c r="B3" t="s">
        <v>26</v>
      </c>
      <c r="C3" t="s">
        <v>3</v>
      </c>
      <c r="D3" t="s">
        <v>27</v>
      </c>
      <c r="E3" s="9">
        <v>52700</v>
      </c>
      <c r="F3" s="9">
        <f t="shared" ref="F3:F31" si="0">IF(B3="","",F2+IF(B3="Masuk",E3,-E3))</f>
        <v>6517300</v>
      </c>
      <c r="H3" s="11" t="s">
        <v>19</v>
      </c>
      <c r="I3" s="12">
        <f>SUMIF(B2:B201,"Masuk",E2:E201)</f>
        <v>6570000</v>
      </c>
    </row>
    <row r="4" spans="1:9">
      <c r="A4" s="8">
        <v>46155</v>
      </c>
      <c r="B4" t="s">
        <v>26</v>
      </c>
      <c r="C4" t="s">
        <v>3</v>
      </c>
      <c r="D4" t="s">
        <v>28</v>
      </c>
      <c r="E4" s="9">
        <v>10000</v>
      </c>
      <c r="F4" s="9">
        <f t="shared" si="0"/>
        <v>6507300</v>
      </c>
      <c r="H4" s="11" t="s">
        <v>20</v>
      </c>
      <c r="I4" s="12">
        <f>SUMIF(B2:B201,"Keluar",E2:E201)</f>
        <v>2047100</v>
      </c>
    </row>
    <row r="5" spans="1:9">
      <c r="A5" s="8">
        <v>46156</v>
      </c>
      <c r="B5" t="s">
        <v>26</v>
      </c>
      <c r="C5" t="s">
        <v>7</v>
      </c>
      <c r="D5" t="s">
        <v>29</v>
      </c>
      <c r="E5" s="9">
        <v>292400</v>
      </c>
      <c r="F5" s="9">
        <f t="shared" si="0"/>
        <v>6214900</v>
      </c>
      <c r="H5" s="11" t="s">
        <v>21</v>
      </c>
      <c r="I5" s="12">
        <f>I3-I4</f>
        <v>4522900</v>
      </c>
    </row>
    <row r="6" spans="1:9">
      <c r="A6" s="8">
        <v>46156</v>
      </c>
      <c r="B6" t="s">
        <v>26</v>
      </c>
      <c r="C6" t="s">
        <v>7</v>
      </c>
      <c r="D6" t="s">
        <v>30</v>
      </c>
      <c r="E6" s="9">
        <v>58000</v>
      </c>
      <c r="F6" s="9">
        <f t="shared" si="0"/>
        <v>6156900</v>
      </c>
      <c r="H6" s="11"/>
      <c r="I6" s="11"/>
    </row>
    <row r="7" spans="1:9">
      <c r="A7" s="8">
        <v>46155</v>
      </c>
      <c r="B7" t="s">
        <v>26</v>
      </c>
      <c r="C7" t="s">
        <v>9</v>
      </c>
      <c r="D7" t="s">
        <v>31</v>
      </c>
      <c r="E7" s="9">
        <v>20000</v>
      </c>
      <c r="F7" s="9">
        <f t="shared" si="0"/>
        <v>6136900</v>
      </c>
      <c r="H7" s="13" t="s">
        <v>22</v>
      </c>
      <c r="I7" s="12">
        <f>_xlfn.MAXIFS(E2:E201,B2:B201,"Keluar")</f>
        <v>1462000</v>
      </c>
    </row>
    <row r="8" spans="1:9">
      <c r="A8" s="8">
        <v>46156</v>
      </c>
      <c r="B8" t="s">
        <v>26</v>
      </c>
      <c r="C8" t="s">
        <v>3</v>
      </c>
      <c r="D8" t="s">
        <v>32</v>
      </c>
      <c r="E8" s="9">
        <v>39000</v>
      </c>
      <c r="F8" s="9">
        <f t="shared" si="0"/>
        <v>6097900</v>
      </c>
      <c r="H8" s="13" t="s">
        <v>23</v>
      </c>
      <c r="I8" s="14" t="str">
        <f>INDEX(C2:C201,MATCH(_xlfn.MAXIFS(E2:E201,B2:B201,"Keluar"),E2:E201,0))</f>
        <v>Tagihan</v>
      </c>
    </row>
    <row r="9" spans="1:9">
      <c r="A9" s="8">
        <v>46156</v>
      </c>
      <c r="B9" t="s">
        <v>26</v>
      </c>
      <c r="C9" t="s">
        <v>3</v>
      </c>
      <c r="D9" t="s">
        <v>33</v>
      </c>
      <c r="E9" s="9">
        <v>13000</v>
      </c>
      <c r="F9" s="9">
        <f t="shared" si="0"/>
        <v>6084900</v>
      </c>
    </row>
    <row r="10" spans="1:9">
      <c r="A10" s="8">
        <v>46156</v>
      </c>
      <c r="B10" t="s">
        <v>26</v>
      </c>
      <c r="C10" t="s">
        <v>6</v>
      </c>
      <c r="D10" t="s">
        <v>34</v>
      </c>
      <c r="E10" s="9">
        <v>1462000</v>
      </c>
      <c r="F10" s="9">
        <f t="shared" si="0"/>
        <v>4622900</v>
      </c>
    </row>
    <row r="11" spans="1:9">
      <c r="A11" s="8">
        <v>46156</v>
      </c>
      <c r="B11" t="s">
        <v>26</v>
      </c>
      <c r="C11" t="s">
        <v>11</v>
      </c>
      <c r="D11" t="s">
        <v>35</v>
      </c>
      <c r="E11" s="9">
        <v>100000</v>
      </c>
      <c r="F11" s="9">
        <f t="shared" si="0"/>
        <v>4522900</v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 t="str">
        <f t="shared" ref="F3:F66" si="1">IF(B32="","",F31+IF(B32="Masuk",E32,-E32))</f>
        <v/>
      </c>
    </row>
    <row r="33" spans="5:6">
      <c r="E33" s="9"/>
      <c r="F33" s="9" t="str">
        <f t="shared" si="1"/>
        <v/>
      </c>
    </row>
    <row r="34" spans="5:6">
      <c r="E34" s="9"/>
      <c r="F34" s="9" t="str">
        <f t="shared" si="1"/>
        <v/>
      </c>
    </row>
    <row r="35" spans="5:6">
      <c r="E35" s="9"/>
      <c r="F35" s="9" t="str">
        <f t="shared" si="1"/>
        <v/>
      </c>
    </row>
    <row r="36" spans="5:6">
      <c r="E36" s="9"/>
      <c r="F36" s="9" t="str">
        <f t="shared" si="1"/>
        <v/>
      </c>
    </row>
    <row r="37" spans="5:6">
      <c r="E37" s="9"/>
      <c r="F37" s="9" t="str">
        <f t="shared" si="1"/>
        <v/>
      </c>
    </row>
    <row r="38" spans="5:6">
      <c r="E38" s="9"/>
      <c r="F38" s="9" t="str">
        <f t="shared" si="1"/>
        <v/>
      </c>
    </row>
    <row r="39" spans="5:6">
      <c r="E39" s="9"/>
      <c r="F39" s="9" t="str">
        <f t="shared" si="1"/>
        <v/>
      </c>
    </row>
    <row r="40" spans="5:6">
      <c r="E40" s="9"/>
      <c r="F40" s="9" t="str">
        <f t="shared" si="1"/>
        <v/>
      </c>
    </row>
    <row r="41" spans="5:6">
      <c r="E41" s="9"/>
      <c r="F41" s="9" t="str">
        <f t="shared" si="1"/>
        <v/>
      </c>
    </row>
    <row r="42" spans="5:6">
      <c r="E42" s="9"/>
      <c r="F42" s="9" t="str">
        <f t="shared" si="1"/>
        <v/>
      </c>
    </row>
    <row r="43" spans="5:6">
      <c r="E43" s="9"/>
      <c r="F43" s="9" t="str">
        <f t="shared" si="1"/>
        <v/>
      </c>
    </row>
    <row r="44" spans="5:6">
      <c r="E44" s="9"/>
      <c r="F44" s="9" t="str">
        <f t="shared" si="1"/>
        <v/>
      </c>
    </row>
    <row r="45" spans="5:6">
      <c r="E45" s="9"/>
      <c r="F45" s="9" t="str">
        <f t="shared" si="1"/>
        <v/>
      </c>
    </row>
    <row r="46" spans="5:6">
      <c r="E46" s="9"/>
      <c r="F46" s="9" t="str">
        <f t="shared" si="1"/>
        <v/>
      </c>
    </row>
    <row r="47" spans="5:6">
      <c r="E47" s="9"/>
      <c r="F47" s="9" t="str">
        <f t="shared" si="1"/>
        <v/>
      </c>
    </row>
    <row r="48" spans="5:6">
      <c r="E48" s="9"/>
      <c r="F48" s="9" t="str">
        <f t="shared" si="1"/>
        <v/>
      </c>
    </row>
    <row r="49" spans="5:6">
      <c r="E49" s="9"/>
      <c r="F49" s="9" t="str">
        <f t="shared" si="1"/>
        <v/>
      </c>
    </row>
    <row r="50" spans="5:6">
      <c r="E50" s="9"/>
      <c r="F50" s="9" t="str">
        <f t="shared" si="1"/>
        <v/>
      </c>
    </row>
    <row r="51" spans="5:6">
      <c r="E51" s="9"/>
      <c r="F51" s="9" t="str">
        <f t="shared" si="1"/>
        <v/>
      </c>
    </row>
    <row r="52" spans="5:6">
      <c r="E52" s="9"/>
      <c r="F52" s="9" t="str">
        <f t="shared" si="1"/>
        <v/>
      </c>
    </row>
    <row r="53" spans="5:6">
      <c r="E53" s="9"/>
      <c r="F53" s="9" t="str">
        <f t="shared" si="1"/>
        <v/>
      </c>
    </row>
    <row r="54" spans="5:6">
      <c r="E54" s="9"/>
      <c r="F54" s="9" t="str">
        <f t="shared" si="1"/>
        <v/>
      </c>
    </row>
    <row r="55" spans="5:6">
      <c r="E55" s="9"/>
      <c r="F55" s="9" t="str">
        <f t="shared" si="1"/>
        <v/>
      </c>
    </row>
    <row r="56" spans="5:6">
      <c r="E56" s="9"/>
      <c r="F56" s="9" t="str">
        <f t="shared" si="1"/>
        <v/>
      </c>
    </row>
    <row r="57" spans="5:6">
      <c r="E57" s="9"/>
      <c r="F57" s="9" t="str">
        <f t="shared" si="1"/>
        <v/>
      </c>
    </row>
    <row r="58" spans="5:6">
      <c r="E58" s="9"/>
      <c r="F58" s="9" t="str">
        <f t="shared" si="1"/>
        <v/>
      </c>
    </row>
    <row r="59" spans="5:6">
      <c r="E59" s="9"/>
      <c r="F59" s="9" t="str">
        <f t="shared" si="1"/>
        <v/>
      </c>
    </row>
    <row r="60" spans="5:6">
      <c r="E60" s="9"/>
      <c r="F60" s="9" t="str">
        <f t="shared" si="1"/>
        <v/>
      </c>
    </row>
    <row r="61" spans="5:6">
      <c r="E61" s="9"/>
      <c r="F61" s="9" t="str">
        <f t="shared" si="1"/>
        <v/>
      </c>
    </row>
    <row r="62" spans="5:6">
      <c r="E62" s="9"/>
      <c r="F62" s="9" t="str">
        <f t="shared" si="1"/>
        <v/>
      </c>
    </row>
    <row r="63" spans="5:6">
      <c r="E63" s="9"/>
      <c r="F63" s="9" t="str">
        <f t="shared" si="1"/>
        <v/>
      </c>
    </row>
    <row r="64" spans="5:6">
      <c r="E64" s="9"/>
      <c r="F64" s="9" t="str">
        <f t="shared" si="1"/>
        <v/>
      </c>
    </row>
    <row r="65" spans="5:6">
      <c r="E65" s="9"/>
      <c r="F65" s="9" t="str">
        <f t="shared" si="1"/>
        <v/>
      </c>
    </row>
    <row r="66" spans="5:6">
      <c r="E66" s="9"/>
      <c r="F66" s="9" t="str">
        <f t="shared" si="1"/>
        <v/>
      </c>
    </row>
    <row r="67" spans="5:6">
      <c r="E67" s="9"/>
      <c r="F67" s="9" t="str">
        <f t="shared" ref="F67:F130" si="2">IF(B67="","",F66+IF(B67="Masuk",E67,-E67))</f>
        <v/>
      </c>
    </row>
    <row r="68" spans="5:6">
      <c r="E68" s="9"/>
      <c r="F68" s="9" t="str">
        <f t="shared" si="2"/>
        <v/>
      </c>
    </row>
    <row r="69" spans="5:6">
      <c r="E69" s="9"/>
      <c r="F69" s="9" t="str">
        <f t="shared" si="2"/>
        <v/>
      </c>
    </row>
    <row r="70" spans="5:6">
      <c r="E70" s="9"/>
      <c r="F70" s="9" t="str">
        <f t="shared" si="2"/>
        <v/>
      </c>
    </row>
    <row r="71" spans="5:6">
      <c r="E71" s="9"/>
      <c r="F71" s="9" t="str">
        <f t="shared" si="2"/>
        <v/>
      </c>
    </row>
    <row r="72" spans="5:6">
      <c r="E72" s="9"/>
      <c r="F72" s="9" t="str">
        <f t="shared" si="2"/>
        <v/>
      </c>
    </row>
    <row r="73" spans="5:6">
      <c r="E73" s="9"/>
      <c r="F73" s="9" t="str">
        <f t="shared" si="2"/>
        <v/>
      </c>
    </row>
    <row r="74" spans="5:6">
      <c r="E74" s="9"/>
      <c r="F74" s="9" t="str">
        <f t="shared" si="2"/>
        <v/>
      </c>
    </row>
    <row r="75" spans="5:6">
      <c r="E75" s="9"/>
      <c r="F75" s="9" t="str">
        <f t="shared" si="2"/>
        <v/>
      </c>
    </row>
    <row r="76" spans="5:6">
      <c r="E76" s="9"/>
      <c r="F76" s="9" t="str">
        <f t="shared" si="2"/>
        <v/>
      </c>
    </row>
    <row r="77" spans="5:6">
      <c r="E77" s="9"/>
      <c r="F77" s="9" t="str">
        <f t="shared" si="2"/>
        <v/>
      </c>
    </row>
    <row r="78" spans="5:6">
      <c r="E78" s="9"/>
      <c r="F78" s="9" t="str">
        <f t="shared" si="2"/>
        <v/>
      </c>
    </row>
    <row r="79" spans="5:6">
      <c r="E79" s="9"/>
      <c r="F79" s="9" t="str">
        <f t="shared" si="2"/>
        <v/>
      </c>
    </row>
    <row r="80" spans="5:6">
      <c r="E80" s="9"/>
      <c r="F80" s="9" t="str">
        <f t="shared" si="2"/>
        <v/>
      </c>
    </row>
    <row r="81" spans="5:6">
      <c r="E81" s="9"/>
      <c r="F81" s="9" t="str">
        <f t="shared" si="2"/>
        <v/>
      </c>
    </row>
    <row r="82" spans="5:6">
      <c r="E82" s="9"/>
      <c r="F82" s="9" t="str">
        <f t="shared" si="2"/>
        <v/>
      </c>
    </row>
    <row r="83" spans="5:6">
      <c r="E83" s="9"/>
      <c r="F83" s="9" t="str">
        <f t="shared" si="2"/>
        <v/>
      </c>
    </row>
    <row r="84" spans="5:6">
      <c r="E84" s="9"/>
      <c r="F84" s="9" t="str">
        <f t="shared" si="2"/>
        <v/>
      </c>
    </row>
    <row r="85" spans="5:6">
      <c r="E85" s="9"/>
      <c r="F85" s="9" t="str">
        <f t="shared" si="2"/>
        <v/>
      </c>
    </row>
    <row r="86" spans="5:6">
      <c r="E86" s="9"/>
      <c r="F86" s="9" t="str">
        <f t="shared" si="2"/>
        <v/>
      </c>
    </row>
    <row r="87" spans="5:6">
      <c r="E87" s="9"/>
      <c r="F87" s="9" t="str">
        <f t="shared" si="2"/>
        <v/>
      </c>
    </row>
    <row r="88" spans="5:6">
      <c r="E88" s="9"/>
      <c r="F88" s="9" t="str">
        <f t="shared" si="2"/>
        <v/>
      </c>
    </row>
    <row r="89" spans="5:6">
      <c r="E89" s="9"/>
      <c r="F89" s="9" t="str">
        <f t="shared" si="2"/>
        <v/>
      </c>
    </row>
    <row r="90" spans="5:6">
      <c r="E90" s="9"/>
      <c r="F90" s="9" t="str">
        <f t="shared" si="2"/>
        <v/>
      </c>
    </row>
    <row r="91" spans="5:6">
      <c r="E91" s="9"/>
      <c r="F91" s="9" t="str">
        <f t="shared" si="2"/>
        <v/>
      </c>
    </row>
    <row r="92" spans="5:6">
      <c r="E92" s="9"/>
      <c r="F92" s="9" t="str">
        <f t="shared" si="2"/>
        <v/>
      </c>
    </row>
    <row r="93" spans="5:6">
      <c r="E93" s="9"/>
      <c r="F93" s="9" t="str">
        <f t="shared" si="2"/>
        <v/>
      </c>
    </row>
    <row r="94" spans="5:6">
      <c r="E94" s="9"/>
      <c r="F94" s="9" t="str">
        <f t="shared" si="2"/>
        <v/>
      </c>
    </row>
    <row r="95" spans="5:6">
      <c r="E95" s="9"/>
      <c r="F95" s="9" t="str">
        <f t="shared" si="2"/>
        <v/>
      </c>
    </row>
    <row r="96" spans="5:6">
      <c r="E96" s="9"/>
      <c r="F96" s="9" t="str">
        <f t="shared" si="2"/>
        <v/>
      </c>
    </row>
    <row r="97" spans="5:6">
      <c r="E97" s="9"/>
      <c r="F97" s="9" t="str">
        <f t="shared" si="2"/>
        <v/>
      </c>
    </row>
    <row r="98" spans="5:6">
      <c r="E98" s="9"/>
      <c r="F98" s="9" t="str">
        <f t="shared" si="2"/>
        <v/>
      </c>
    </row>
    <row r="99" spans="5:6">
      <c r="E99" s="9"/>
      <c r="F99" s="9" t="str">
        <f t="shared" si="2"/>
        <v/>
      </c>
    </row>
    <row r="100" spans="5:6">
      <c r="E100" s="9"/>
      <c r="F100" s="9" t="str">
        <f t="shared" si="2"/>
        <v/>
      </c>
    </row>
    <row r="101" spans="5:6">
      <c r="E101" s="9"/>
      <c r="F101" s="9" t="str">
        <f t="shared" si="2"/>
        <v/>
      </c>
    </row>
    <row r="102" spans="5:6">
      <c r="E102" s="9"/>
      <c r="F102" s="9" t="str">
        <f t="shared" si="2"/>
        <v/>
      </c>
    </row>
    <row r="103" spans="5:6">
      <c r="E103" s="9"/>
      <c r="F103" s="9" t="str">
        <f t="shared" si="2"/>
        <v/>
      </c>
    </row>
    <row r="104" spans="5:6">
      <c r="E104" s="9"/>
      <c r="F104" s="9" t="str">
        <f t="shared" si="2"/>
        <v/>
      </c>
    </row>
    <row r="105" spans="5:6">
      <c r="E105" s="9"/>
      <c r="F105" s="9" t="str">
        <f t="shared" si="2"/>
        <v/>
      </c>
    </row>
    <row r="106" spans="5:6">
      <c r="E106" s="9"/>
      <c r="F106" s="9" t="str">
        <f t="shared" si="2"/>
        <v/>
      </c>
    </row>
    <row r="107" spans="5:6">
      <c r="E107" s="9"/>
      <c r="F107" s="9" t="str">
        <f t="shared" si="2"/>
        <v/>
      </c>
    </row>
    <row r="108" spans="5:6">
      <c r="E108" s="9"/>
      <c r="F108" s="9" t="str">
        <f t="shared" si="2"/>
        <v/>
      </c>
    </row>
    <row r="109" spans="5:6">
      <c r="E109" s="9"/>
      <c r="F109" s="9" t="str">
        <f t="shared" si="2"/>
        <v/>
      </c>
    </row>
    <row r="110" spans="5:6">
      <c r="E110" s="9"/>
      <c r="F110" s="9" t="str">
        <f t="shared" si="2"/>
        <v/>
      </c>
    </row>
    <row r="111" spans="5:6">
      <c r="E111" s="9"/>
      <c r="F111" s="9" t="str">
        <f t="shared" si="2"/>
        <v/>
      </c>
    </row>
    <row r="112" spans="5:6">
      <c r="E112" s="9"/>
      <c r="F112" s="9" t="str">
        <f t="shared" si="2"/>
        <v/>
      </c>
    </row>
    <row r="113" spans="5:6">
      <c r="E113" s="9"/>
      <c r="F113" s="9" t="str">
        <f t="shared" si="2"/>
        <v/>
      </c>
    </row>
    <row r="114" spans="5:6">
      <c r="E114" s="9"/>
      <c r="F114" s="9" t="str">
        <f t="shared" si="2"/>
        <v/>
      </c>
    </row>
    <row r="115" spans="5:6">
      <c r="E115" s="9"/>
      <c r="F115" s="9" t="str">
        <f t="shared" si="2"/>
        <v/>
      </c>
    </row>
    <row r="116" spans="5:6">
      <c r="E116" s="9"/>
      <c r="F116" s="9" t="str">
        <f t="shared" si="2"/>
        <v/>
      </c>
    </row>
    <row r="117" spans="5:6">
      <c r="E117" s="9"/>
      <c r="F117" s="9" t="str">
        <f t="shared" si="2"/>
        <v/>
      </c>
    </row>
    <row r="118" spans="5:6">
      <c r="E118" s="9"/>
      <c r="F118" s="9" t="str">
        <f t="shared" si="2"/>
        <v/>
      </c>
    </row>
    <row r="119" spans="5:6">
      <c r="E119" s="9"/>
      <c r="F119" s="9" t="str">
        <f t="shared" si="2"/>
        <v/>
      </c>
    </row>
    <row r="120" spans="5:6">
      <c r="E120" s="9"/>
      <c r="F120" s="9" t="str">
        <f t="shared" si="2"/>
        <v/>
      </c>
    </row>
    <row r="121" spans="5:6">
      <c r="E121" s="9"/>
      <c r="F121" s="9" t="str">
        <f t="shared" si="2"/>
        <v/>
      </c>
    </row>
    <row r="122" spans="5:6">
      <c r="E122" s="9"/>
      <c r="F122" s="9" t="str">
        <f t="shared" si="2"/>
        <v/>
      </c>
    </row>
    <row r="123" spans="5:6">
      <c r="E123" s="9"/>
      <c r="F123" s="9" t="str">
        <f t="shared" si="2"/>
        <v/>
      </c>
    </row>
    <row r="124" spans="5:6">
      <c r="E124" s="9"/>
      <c r="F124" s="9" t="str">
        <f t="shared" si="2"/>
        <v/>
      </c>
    </row>
    <row r="125" spans="5:6">
      <c r="E125" s="9"/>
      <c r="F125" s="9" t="str">
        <f t="shared" si="2"/>
        <v/>
      </c>
    </row>
    <row r="126" spans="5:6">
      <c r="E126" s="9"/>
      <c r="F126" s="9" t="str">
        <f t="shared" si="2"/>
        <v/>
      </c>
    </row>
    <row r="127" spans="5:6">
      <c r="E127" s="9"/>
      <c r="F127" s="9" t="str">
        <f t="shared" si="2"/>
        <v/>
      </c>
    </row>
    <row r="128" spans="5:6">
      <c r="E128" s="9"/>
      <c r="F128" s="9" t="str">
        <f t="shared" si="2"/>
        <v/>
      </c>
    </row>
    <row r="129" spans="5:6">
      <c r="E129" s="9"/>
      <c r="F129" s="9" t="str">
        <f t="shared" si="2"/>
        <v/>
      </c>
    </row>
    <row r="130" spans="5:6">
      <c r="E130" s="9"/>
      <c r="F130" s="9" t="str">
        <f t="shared" si="2"/>
        <v/>
      </c>
    </row>
    <row r="131" spans="5:6">
      <c r="E131" s="9"/>
      <c r="F131" s="9" t="str">
        <f t="shared" ref="F131:F194" si="3">IF(B131="","",F130+IF(B131="Masuk",E131,-E131))</f>
        <v/>
      </c>
    </row>
    <row r="132" spans="5:6">
      <c r="E132" s="9"/>
      <c r="F132" s="9" t="str">
        <f t="shared" si="3"/>
        <v/>
      </c>
    </row>
    <row r="133" spans="5:6">
      <c r="E133" s="9"/>
      <c r="F133" s="9" t="str">
        <f t="shared" si="3"/>
        <v/>
      </c>
    </row>
    <row r="134" spans="5:6">
      <c r="E134" s="9"/>
      <c r="F134" s="9" t="str">
        <f t="shared" si="3"/>
        <v/>
      </c>
    </row>
    <row r="135" spans="5:6">
      <c r="E135" s="9"/>
      <c r="F135" s="9" t="str">
        <f t="shared" si="3"/>
        <v/>
      </c>
    </row>
    <row r="136" spans="5:6">
      <c r="E136" s="9"/>
      <c r="F136" s="9" t="str">
        <f t="shared" si="3"/>
        <v/>
      </c>
    </row>
    <row r="137" spans="5:6">
      <c r="E137" s="9"/>
      <c r="F137" s="9" t="str">
        <f t="shared" si="3"/>
        <v/>
      </c>
    </row>
    <row r="138" spans="5:6">
      <c r="E138" s="9"/>
      <c r="F138" s="9" t="str">
        <f t="shared" si="3"/>
        <v/>
      </c>
    </row>
    <row r="139" spans="5:6">
      <c r="E139" s="9"/>
      <c r="F139" s="9" t="str">
        <f t="shared" si="3"/>
        <v/>
      </c>
    </row>
    <row r="140" spans="5:6">
      <c r="E140" s="9"/>
      <c r="F140" s="9" t="str">
        <f t="shared" si="3"/>
        <v/>
      </c>
    </row>
    <row r="141" spans="5:6">
      <c r="E141" s="9"/>
      <c r="F141" s="9" t="str">
        <f t="shared" si="3"/>
        <v/>
      </c>
    </row>
    <row r="142" spans="5:6">
      <c r="E142" s="9"/>
      <c r="F142" s="9" t="str">
        <f t="shared" si="3"/>
        <v/>
      </c>
    </row>
    <row r="143" spans="5:6">
      <c r="E143" s="9"/>
      <c r="F143" s="9" t="str">
        <f t="shared" si="3"/>
        <v/>
      </c>
    </row>
    <row r="144" spans="5:6">
      <c r="E144" s="9"/>
      <c r="F144" s="9" t="str">
        <f t="shared" si="3"/>
        <v/>
      </c>
    </row>
    <row r="145" spans="5:6">
      <c r="E145" s="9"/>
      <c r="F145" s="9" t="str">
        <f t="shared" si="3"/>
        <v/>
      </c>
    </row>
    <row r="146" spans="5:6">
      <c r="E146" s="9"/>
      <c r="F146" s="9" t="str">
        <f t="shared" si="3"/>
        <v/>
      </c>
    </row>
    <row r="147" spans="5:6">
      <c r="E147" s="9"/>
      <c r="F147" s="9" t="str">
        <f t="shared" si="3"/>
        <v/>
      </c>
    </row>
    <row r="148" spans="5:6">
      <c r="E148" s="9"/>
      <c r="F148" s="9" t="str">
        <f t="shared" si="3"/>
        <v/>
      </c>
    </row>
    <row r="149" spans="5:6">
      <c r="E149" s="9"/>
      <c r="F149" s="9" t="str">
        <f t="shared" si="3"/>
        <v/>
      </c>
    </row>
    <row r="150" spans="5:6">
      <c r="E150" s="9"/>
      <c r="F150" s="9" t="str">
        <f t="shared" si="3"/>
        <v/>
      </c>
    </row>
    <row r="151" spans="5:6">
      <c r="E151" s="9"/>
      <c r="F151" s="9" t="str">
        <f t="shared" si="3"/>
        <v/>
      </c>
    </row>
    <row r="152" spans="5:6">
      <c r="E152" s="9"/>
      <c r="F152" s="9" t="str">
        <f t="shared" si="3"/>
        <v/>
      </c>
    </row>
    <row r="153" spans="5:6">
      <c r="E153" s="9"/>
      <c r="F153" s="9" t="str">
        <f t="shared" si="3"/>
        <v/>
      </c>
    </row>
    <row r="154" spans="5:6">
      <c r="E154" s="9"/>
      <c r="F154" s="9" t="str">
        <f t="shared" si="3"/>
        <v/>
      </c>
    </row>
    <row r="155" spans="5:6">
      <c r="E155" s="9"/>
      <c r="F155" s="9" t="str">
        <f t="shared" si="3"/>
        <v/>
      </c>
    </row>
    <row r="156" spans="5:6">
      <c r="E156" s="9"/>
      <c r="F156" s="9" t="str">
        <f t="shared" si="3"/>
        <v/>
      </c>
    </row>
    <row r="157" spans="5:6">
      <c r="E157" s="9"/>
      <c r="F157" s="9" t="str">
        <f t="shared" si="3"/>
        <v/>
      </c>
    </row>
    <row r="158" spans="5:6">
      <c r="E158" s="9"/>
      <c r="F158" s="9" t="str">
        <f t="shared" si="3"/>
        <v/>
      </c>
    </row>
    <row r="159" spans="5:6">
      <c r="E159" s="9"/>
      <c r="F159" s="9" t="str">
        <f t="shared" si="3"/>
        <v/>
      </c>
    </row>
    <row r="160" spans="5:6">
      <c r="E160" s="9"/>
      <c r="F160" s="9" t="str">
        <f t="shared" si="3"/>
        <v/>
      </c>
    </row>
    <row r="161" spans="5:6">
      <c r="E161" s="9"/>
      <c r="F161" s="9" t="str">
        <f t="shared" si="3"/>
        <v/>
      </c>
    </row>
    <row r="162" spans="5:6">
      <c r="E162" s="9"/>
      <c r="F162" s="9" t="str">
        <f t="shared" si="3"/>
        <v/>
      </c>
    </row>
    <row r="163" spans="5:6">
      <c r="E163" s="9"/>
      <c r="F163" s="9" t="str">
        <f t="shared" si="3"/>
        <v/>
      </c>
    </row>
    <row r="164" spans="5:6">
      <c r="E164" s="9"/>
      <c r="F164" s="9" t="str">
        <f t="shared" si="3"/>
        <v/>
      </c>
    </row>
    <row r="165" spans="5:6">
      <c r="E165" s="9"/>
      <c r="F165" s="9" t="str">
        <f t="shared" si="3"/>
        <v/>
      </c>
    </row>
    <row r="166" spans="5:6">
      <c r="E166" s="9"/>
      <c r="F166" s="9" t="str">
        <f t="shared" si="3"/>
        <v/>
      </c>
    </row>
    <row r="167" spans="5:6">
      <c r="E167" s="9"/>
      <c r="F167" s="9" t="str">
        <f t="shared" si="3"/>
        <v/>
      </c>
    </row>
    <row r="168" spans="5:6">
      <c r="E168" s="9"/>
      <c r="F168" s="9" t="str">
        <f t="shared" si="3"/>
        <v/>
      </c>
    </row>
    <row r="169" spans="5:6">
      <c r="E169" s="9"/>
      <c r="F169" s="9" t="str">
        <f t="shared" si="3"/>
        <v/>
      </c>
    </row>
    <row r="170" spans="5:6">
      <c r="E170" s="9"/>
      <c r="F170" s="9" t="str">
        <f t="shared" si="3"/>
        <v/>
      </c>
    </row>
    <row r="171" spans="5:6">
      <c r="E171" s="9"/>
      <c r="F171" s="9" t="str">
        <f t="shared" si="3"/>
        <v/>
      </c>
    </row>
    <row r="172" spans="5:6">
      <c r="E172" s="9"/>
      <c r="F172" s="9" t="str">
        <f t="shared" si="3"/>
        <v/>
      </c>
    </row>
    <row r="173" spans="5:6">
      <c r="E173" s="9"/>
      <c r="F173" s="9" t="str">
        <f t="shared" si="3"/>
        <v/>
      </c>
    </row>
    <row r="174" spans="5:6">
      <c r="E174" s="9"/>
      <c r="F174" s="9" t="str">
        <f t="shared" si="3"/>
        <v/>
      </c>
    </row>
    <row r="175" spans="5:6">
      <c r="E175" s="9"/>
      <c r="F175" s="9" t="str">
        <f t="shared" si="3"/>
        <v/>
      </c>
    </row>
    <row r="176" spans="5:6">
      <c r="E176" s="9"/>
      <c r="F176" s="9" t="str">
        <f t="shared" si="3"/>
        <v/>
      </c>
    </row>
    <row r="177" spans="5:6">
      <c r="E177" s="9"/>
      <c r="F177" s="9" t="str">
        <f t="shared" si="3"/>
        <v/>
      </c>
    </row>
    <row r="178" spans="5:6">
      <c r="E178" s="9"/>
      <c r="F178" s="9" t="str">
        <f t="shared" si="3"/>
        <v/>
      </c>
    </row>
    <row r="179" spans="5:6">
      <c r="E179" s="9"/>
      <c r="F179" s="9" t="str">
        <f t="shared" si="3"/>
        <v/>
      </c>
    </row>
    <row r="180" spans="5:6">
      <c r="E180" s="9"/>
      <c r="F180" s="9" t="str">
        <f t="shared" si="3"/>
        <v/>
      </c>
    </row>
    <row r="181" spans="5:6">
      <c r="E181" s="9"/>
      <c r="F181" s="9" t="str">
        <f t="shared" si="3"/>
        <v/>
      </c>
    </row>
    <row r="182" spans="5:6">
      <c r="E182" s="9"/>
      <c r="F182" s="9" t="str">
        <f t="shared" si="3"/>
        <v/>
      </c>
    </row>
    <row r="183" spans="5:6">
      <c r="E183" s="9"/>
      <c r="F183" s="9" t="str">
        <f t="shared" si="3"/>
        <v/>
      </c>
    </row>
    <row r="184" spans="5:6">
      <c r="E184" s="9"/>
      <c r="F184" s="9" t="str">
        <f t="shared" si="3"/>
        <v/>
      </c>
    </row>
    <row r="185" spans="5:6">
      <c r="E185" s="9"/>
      <c r="F185" s="9" t="str">
        <f t="shared" si="3"/>
        <v/>
      </c>
    </row>
    <row r="186" spans="5:6">
      <c r="E186" s="9"/>
      <c r="F186" s="9" t="str">
        <f t="shared" si="3"/>
        <v/>
      </c>
    </row>
    <row r="187" spans="5:6">
      <c r="E187" s="9"/>
      <c r="F187" s="9" t="str">
        <f t="shared" si="3"/>
        <v/>
      </c>
    </row>
    <row r="188" spans="5:6">
      <c r="E188" s="9"/>
      <c r="F188" s="9" t="str">
        <f t="shared" si="3"/>
        <v/>
      </c>
    </row>
    <row r="189" spans="5:6">
      <c r="E189" s="9"/>
      <c r="F189" s="9" t="str">
        <f t="shared" si="3"/>
        <v/>
      </c>
    </row>
    <row r="190" spans="5:6">
      <c r="E190" s="9"/>
      <c r="F190" s="9" t="str">
        <f t="shared" si="3"/>
        <v/>
      </c>
    </row>
    <row r="191" spans="5:6">
      <c r="E191" s="9"/>
      <c r="F191" s="9" t="str">
        <f t="shared" si="3"/>
        <v/>
      </c>
    </row>
    <row r="192" spans="5:6">
      <c r="E192" s="9"/>
      <c r="F192" s="9" t="str">
        <f t="shared" si="3"/>
        <v/>
      </c>
    </row>
    <row r="193" spans="5:6">
      <c r="E193" s="9"/>
      <c r="F193" s="9" t="str">
        <f t="shared" si="3"/>
        <v/>
      </c>
    </row>
    <row r="194" spans="5:6">
      <c r="E194" s="9"/>
      <c r="F194" s="9" t="str">
        <f t="shared" si="3"/>
        <v/>
      </c>
    </row>
    <row r="195" spans="5:6">
      <c r="E195" s="9"/>
      <c r="F195" s="9" t="str">
        <f t="shared" ref="F195:F201" si="4">IF(B195="","",F194+IF(B195="Masuk",E195,-E195))</f>
        <v/>
      </c>
    </row>
    <row r="196" spans="5:6">
      <c r="E196" s="9"/>
      <c r="F196" s="9" t="str">
        <f t="shared" si="4"/>
        <v/>
      </c>
    </row>
    <row r="197" spans="5:6">
      <c r="E197" s="9"/>
      <c r="F197" s="9" t="str">
        <f t="shared" si="4"/>
        <v/>
      </c>
    </row>
    <row r="198" spans="5:6">
      <c r="E198" s="9"/>
      <c r="F198" s="9" t="str">
        <f t="shared" si="4"/>
        <v/>
      </c>
    </row>
    <row r="199" spans="5:6">
      <c r="E199" s="9"/>
      <c r="F199" s="9" t="str">
        <f t="shared" si="4"/>
        <v/>
      </c>
    </row>
    <row r="200" spans="5:6">
      <c r="E200" s="9"/>
      <c r="F200" s="9" t="str">
        <f t="shared" si="4"/>
        <v/>
      </c>
    </row>
    <row r="201" spans="5:6">
      <c r="E201" s="9"/>
      <c r="F201" s="9" t="str">
        <f t="shared" si="4"/>
        <v/>
      </c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4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allowBlank="1" showInputMessage="1" showErrorMessage="1" sqref="C1:C31">
      <formula1>Kategori!$A$2:$A$20</formula1>
    </dataValidation>
    <dataValidation type="list" sqref="C3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31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31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31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31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31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31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L16" sqref="L16"/>
    </sheetView>
  </sheetViews>
  <sheetFormatPr defaultColWidth="9" defaultRowHeight="15"/>
  <cols>
    <col min="1" max="2" width="15" customWidth="1"/>
    <col min="3" max="3" width="20" customWidth="1"/>
    <col min="4" max="4" width="35" customWidth="1"/>
    <col min="5" max="5" width="18" customWidth="1"/>
    <col min="6" max="6" width="20" customWidth="1"/>
  </cols>
  <sheetData>
    <row r="1" spans="1:9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9">
      <c r="A2" s="8"/>
      <c r="E2" s="9"/>
      <c r="F2" s="9">
        <f>IF(B2="Masuk",E2,-E2)</f>
        <v>0</v>
      </c>
      <c r="H2" s="10" t="s">
        <v>18</v>
      </c>
      <c r="I2" s="10"/>
    </row>
    <row r="3" spans="1:9">
      <c r="A3" s="8"/>
      <c r="E3" s="9"/>
      <c r="F3" s="9" t="str">
        <f t="shared" ref="F3:F31" si="0">IF(B3="","",F2+IF(B3="Masuk",E3,-E3))</f>
        <v/>
      </c>
      <c r="H3" s="11" t="s">
        <v>19</v>
      </c>
      <c r="I3" s="12">
        <f>SUMIF(B2:B201,"Masuk",E2:E201)</f>
        <v>0</v>
      </c>
    </row>
    <row r="4" spans="1:9">
      <c r="A4" s="8"/>
      <c r="E4" s="9"/>
      <c r="F4" s="9" t="str">
        <f t="shared" si="0"/>
        <v/>
      </c>
      <c r="H4" s="11" t="s">
        <v>20</v>
      </c>
      <c r="I4" s="12">
        <f>SUMIF(B2:B201,"Keluar",E2:E201)</f>
        <v>0</v>
      </c>
    </row>
    <row r="5" spans="1:9">
      <c r="A5" s="8"/>
      <c r="E5" s="9"/>
      <c r="F5" s="9" t="str">
        <f t="shared" si="0"/>
        <v/>
      </c>
      <c r="H5" s="11" t="s">
        <v>21</v>
      </c>
      <c r="I5" s="12">
        <f>I3-I4</f>
        <v>0</v>
      </c>
    </row>
    <row r="6" spans="1:9">
      <c r="A6" s="8"/>
      <c r="E6" s="9"/>
      <c r="F6" s="9" t="str">
        <f t="shared" si="0"/>
        <v/>
      </c>
      <c r="H6" s="11"/>
      <c r="I6" s="11"/>
    </row>
    <row r="7" spans="1:9">
      <c r="A7" s="8"/>
      <c r="E7" s="9"/>
      <c r="F7" s="9" t="str">
        <f t="shared" si="0"/>
        <v/>
      </c>
      <c r="H7" s="13" t="s">
        <v>22</v>
      </c>
      <c r="I7" s="12">
        <f>_xlfn.MAXIFS(E2:E201,B2:B201,"Keluar")</f>
        <v>0</v>
      </c>
    </row>
    <row r="8" spans="1:9">
      <c r="A8" s="8"/>
      <c r="E8" s="9"/>
      <c r="F8" s="9" t="str">
        <f t="shared" si="0"/>
        <v/>
      </c>
      <c r="H8" s="13" t="s">
        <v>23</v>
      </c>
      <c r="I8" s="11" t="e">
        <f>INDEX(C2:C201,MATCH(_xlfn.MAXIFS(E2:E201,B2:B201,"Keluar"),E2:E201,0))</f>
        <v>#N/A</v>
      </c>
    </row>
    <row r="9" spans="1:9">
      <c r="A9" s="8"/>
      <c r="E9" s="9"/>
      <c r="F9" s="9" t="str">
        <f t="shared" si="0"/>
        <v/>
      </c>
    </row>
    <row r="10" spans="1:9">
      <c r="A10" s="8"/>
      <c r="E10" s="9"/>
      <c r="F10" s="9" t="str">
        <f t="shared" si="0"/>
        <v/>
      </c>
    </row>
    <row r="11" spans="1:9">
      <c r="A11" s="8"/>
      <c r="E11" s="9"/>
      <c r="F11" s="9" t="str">
        <f t="shared" si="0"/>
        <v/>
      </c>
    </row>
    <row r="12" spans="1:9">
      <c r="A12" s="8"/>
      <c r="E12" s="9"/>
      <c r="F12" s="9" t="str">
        <f t="shared" si="0"/>
        <v/>
      </c>
    </row>
    <row r="13" spans="1:9">
      <c r="A13" s="8"/>
      <c r="E13" s="9"/>
      <c r="F13" s="9" t="str">
        <f t="shared" si="0"/>
        <v/>
      </c>
    </row>
    <row r="14" spans="1:9">
      <c r="A14" s="8"/>
      <c r="E14" s="9"/>
      <c r="F14" s="9" t="str">
        <f t="shared" si="0"/>
        <v/>
      </c>
    </row>
    <row r="15" spans="1:9">
      <c r="A15" s="8"/>
      <c r="E15" s="9"/>
      <c r="F15" s="9" t="str">
        <f t="shared" si="0"/>
        <v/>
      </c>
    </row>
    <row r="16" spans="1:9">
      <c r="A16" s="8"/>
      <c r="E16" s="9"/>
      <c r="F16" s="9" t="str">
        <f t="shared" si="0"/>
        <v/>
      </c>
    </row>
    <row r="17" spans="1:6">
      <c r="A17" s="8"/>
      <c r="E17" s="9"/>
      <c r="F17" s="9" t="str">
        <f t="shared" si="0"/>
        <v/>
      </c>
    </row>
    <row r="18" spans="1:6">
      <c r="A18" s="8"/>
      <c r="E18" s="9"/>
      <c r="F18" s="9" t="str">
        <f t="shared" si="0"/>
        <v/>
      </c>
    </row>
    <row r="19" spans="1:6">
      <c r="A19" s="8"/>
      <c r="E19" s="9"/>
      <c r="F19" s="9" t="str">
        <f t="shared" si="0"/>
        <v/>
      </c>
    </row>
    <row r="20" spans="1:6">
      <c r="A20" s="8"/>
      <c r="E20" s="9"/>
      <c r="F20" s="9" t="str">
        <f t="shared" si="0"/>
        <v/>
      </c>
    </row>
    <row r="21" spans="1:6">
      <c r="A21" s="8"/>
      <c r="E21" s="9"/>
      <c r="F21" s="9" t="str">
        <f t="shared" si="0"/>
        <v/>
      </c>
    </row>
    <row r="22" spans="1:6">
      <c r="A22" s="8"/>
      <c r="E22" s="9"/>
      <c r="F22" s="9" t="str">
        <f t="shared" si="0"/>
        <v/>
      </c>
    </row>
    <row r="23" spans="1:6">
      <c r="A23" s="8"/>
      <c r="E23" s="9"/>
      <c r="F23" s="9" t="str">
        <f t="shared" si="0"/>
        <v/>
      </c>
    </row>
    <row r="24" spans="1:6">
      <c r="A24" s="8"/>
      <c r="E24" s="9"/>
      <c r="F24" s="9" t="str">
        <f t="shared" si="0"/>
        <v/>
      </c>
    </row>
    <row r="25" spans="1:6">
      <c r="A25" s="8"/>
      <c r="E25" s="9"/>
      <c r="F25" s="9" t="str">
        <f t="shared" si="0"/>
        <v/>
      </c>
    </row>
    <row r="26" spans="1:6">
      <c r="A26" s="8"/>
      <c r="E26" s="9"/>
      <c r="F26" s="9" t="str">
        <f t="shared" si="0"/>
        <v/>
      </c>
    </row>
    <row r="27" spans="1:6">
      <c r="A27" s="8"/>
      <c r="E27" s="9"/>
      <c r="F27" s="9" t="str">
        <f t="shared" si="0"/>
        <v/>
      </c>
    </row>
    <row r="28" spans="1:6">
      <c r="A28" s="8"/>
      <c r="E28" s="9"/>
      <c r="F28" s="9" t="str">
        <f t="shared" si="0"/>
        <v/>
      </c>
    </row>
    <row r="29" spans="1:6">
      <c r="A29" s="8"/>
      <c r="E29" s="9"/>
      <c r="F29" s="9" t="str">
        <f t="shared" si="0"/>
        <v/>
      </c>
    </row>
    <row r="30" spans="1:6">
      <c r="A30" s="8"/>
      <c r="E30" s="9"/>
      <c r="F30" s="9" t="str">
        <f t="shared" si="0"/>
        <v/>
      </c>
    </row>
    <row r="31" spans="1:6">
      <c r="A31" s="8"/>
      <c r="E31" s="9"/>
      <c r="F31" s="9" t="str">
        <f t="shared" si="0"/>
        <v/>
      </c>
    </row>
    <row r="32" spans="1:6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  <row r="51" spans="5:6">
      <c r="E51" s="9"/>
      <c r="F51" s="9"/>
    </row>
    <row r="52" spans="5:6">
      <c r="E52" s="9"/>
      <c r="F52" s="9"/>
    </row>
    <row r="53" spans="5:6">
      <c r="E53" s="9"/>
      <c r="F53" s="9"/>
    </row>
    <row r="54" spans="5:6">
      <c r="E54" s="9"/>
      <c r="F54" s="9"/>
    </row>
    <row r="55" spans="5:6">
      <c r="E55" s="9"/>
      <c r="F55" s="9"/>
    </row>
    <row r="56" spans="5:6">
      <c r="E56" s="9"/>
      <c r="F56" s="9"/>
    </row>
    <row r="57" spans="5:6">
      <c r="E57" s="9"/>
      <c r="F57" s="9"/>
    </row>
    <row r="58" spans="5:6">
      <c r="E58" s="9"/>
      <c r="F58" s="9"/>
    </row>
    <row r="59" spans="5:6">
      <c r="E59" s="9"/>
      <c r="F59" s="9"/>
    </row>
    <row r="60" spans="5:6">
      <c r="E60" s="9"/>
      <c r="F60" s="9"/>
    </row>
    <row r="61" spans="5:6">
      <c r="E61" s="9"/>
      <c r="F61" s="9"/>
    </row>
    <row r="62" spans="5:6">
      <c r="E62" s="9"/>
      <c r="F62" s="9"/>
    </row>
    <row r="63" spans="5:6">
      <c r="E63" s="9"/>
      <c r="F63" s="9"/>
    </row>
    <row r="64" spans="5:6">
      <c r="E64" s="9"/>
      <c r="F64" s="9"/>
    </row>
    <row r="65" spans="5:6">
      <c r="E65" s="9"/>
      <c r="F65" s="9"/>
    </row>
    <row r="66" spans="5:6">
      <c r="E66" s="9"/>
      <c r="F66" s="9"/>
    </row>
    <row r="67" spans="5:6">
      <c r="E67" s="9"/>
      <c r="F67" s="9"/>
    </row>
    <row r="68" spans="5:6">
      <c r="E68" s="9"/>
      <c r="F68" s="9"/>
    </row>
    <row r="69" spans="5:6">
      <c r="E69" s="9"/>
      <c r="F69" s="9"/>
    </row>
    <row r="70" spans="5:6">
      <c r="E70" s="9"/>
      <c r="F70" s="9"/>
    </row>
    <row r="71" spans="5:6">
      <c r="E71" s="9"/>
      <c r="F71" s="9"/>
    </row>
    <row r="72" spans="5:6">
      <c r="E72" s="9"/>
      <c r="F72" s="9"/>
    </row>
    <row r="73" spans="5:6">
      <c r="E73" s="9"/>
      <c r="F73" s="9"/>
    </row>
    <row r="74" spans="5:6">
      <c r="E74" s="9"/>
      <c r="F74" s="9"/>
    </row>
    <row r="75" spans="5:6">
      <c r="E75" s="9"/>
      <c r="F75" s="9"/>
    </row>
    <row r="76" spans="5:6">
      <c r="E76" s="9"/>
      <c r="F76" s="9"/>
    </row>
    <row r="77" spans="5:6">
      <c r="E77" s="9"/>
      <c r="F77" s="9"/>
    </row>
    <row r="78" spans="5:6">
      <c r="E78" s="9"/>
      <c r="F78" s="9"/>
    </row>
    <row r="79" spans="5:6">
      <c r="E79" s="9"/>
      <c r="F79" s="9"/>
    </row>
    <row r="80" spans="5:6">
      <c r="E80" s="9"/>
      <c r="F80" s="9"/>
    </row>
    <row r="81" spans="5:6">
      <c r="E81" s="9"/>
      <c r="F81" s="9"/>
    </row>
    <row r="82" spans="5:6">
      <c r="E82" s="9"/>
      <c r="F82" s="9"/>
    </row>
    <row r="83" spans="5:6">
      <c r="E83" s="9"/>
      <c r="F83" s="9"/>
    </row>
    <row r="84" spans="5:6">
      <c r="E84" s="9"/>
      <c r="F84" s="9"/>
    </row>
    <row r="85" spans="5:6">
      <c r="E85" s="9"/>
      <c r="F85" s="9"/>
    </row>
    <row r="86" spans="5:6">
      <c r="E86" s="9"/>
      <c r="F86" s="9"/>
    </row>
    <row r="87" spans="5:6">
      <c r="E87" s="9"/>
      <c r="F87" s="9"/>
    </row>
    <row r="88" spans="5:6">
      <c r="E88" s="9"/>
      <c r="F88" s="9"/>
    </row>
    <row r="89" spans="5:6">
      <c r="E89" s="9"/>
      <c r="F89" s="9"/>
    </row>
    <row r="90" spans="5:6">
      <c r="E90" s="9"/>
      <c r="F90" s="9"/>
    </row>
    <row r="91" spans="5:6">
      <c r="E91" s="9"/>
      <c r="F91" s="9"/>
    </row>
    <row r="92" spans="5:6">
      <c r="E92" s="9"/>
      <c r="F92" s="9"/>
    </row>
    <row r="93" spans="5:6">
      <c r="E93" s="9"/>
      <c r="F93" s="9"/>
    </row>
    <row r="94" spans="5:6">
      <c r="E94" s="9"/>
      <c r="F94" s="9"/>
    </row>
    <row r="95" spans="5:6">
      <c r="E95" s="9"/>
      <c r="F95" s="9"/>
    </row>
    <row r="96" spans="5:6">
      <c r="E96" s="9"/>
      <c r="F96" s="9"/>
    </row>
    <row r="97" spans="5:6">
      <c r="E97" s="9"/>
      <c r="F97" s="9"/>
    </row>
    <row r="98" spans="5:6">
      <c r="E98" s="9"/>
      <c r="F98" s="9"/>
    </row>
    <row r="99" spans="5:6">
      <c r="E99" s="9"/>
      <c r="F99" s="9"/>
    </row>
    <row r="100" spans="5:6">
      <c r="E100" s="9"/>
      <c r="F100" s="9"/>
    </row>
    <row r="101" spans="5:6">
      <c r="E101" s="9"/>
      <c r="F101" s="9"/>
    </row>
    <row r="102" spans="5:6">
      <c r="E102" s="9"/>
      <c r="F102" s="9"/>
    </row>
    <row r="103" spans="5:6">
      <c r="E103" s="9"/>
      <c r="F103" s="9"/>
    </row>
    <row r="104" spans="5:6">
      <c r="E104" s="9"/>
      <c r="F104" s="9"/>
    </row>
    <row r="105" spans="5:6">
      <c r="E105" s="9"/>
      <c r="F105" s="9"/>
    </row>
    <row r="106" spans="5:6">
      <c r="E106" s="9"/>
      <c r="F106" s="9"/>
    </row>
    <row r="107" spans="5:6">
      <c r="E107" s="9"/>
      <c r="F107" s="9"/>
    </row>
    <row r="108" spans="5:6">
      <c r="E108" s="9"/>
      <c r="F108" s="9"/>
    </row>
    <row r="109" spans="5:6">
      <c r="E109" s="9"/>
      <c r="F109" s="9"/>
    </row>
    <row r="110" spans="5:6">
      <c r="E110" s="9"/>
      <c r="F110" s="9"/>
    </row>
    <row r="111" spans="5:6">
      <c r="E111" s="9"/>
      <c r="F111" s="9"/>
    </row>
    <row r="112" spans="5:6">
      <c r="E112" s="9"/>
      <c r="F112" s="9"/>
    </row>
    <row r="113" spans="5:6">
      <c r="E113" s="9"/>
      <c r="F113" s="9"/>
    </row>
    <row r="114" spans="5:6">
      <c r="E114" s="9"/>
      <c r="F114" s="9"/>
    </row>
    <row r="115" spans="5:6">
      <c r="E115" s="9"/>
      <c r="F115" s="9"/>
    </row>
    <row r="116" spans="5:6">
      <c r="E116" s="9"/>
      <c r="F116" s="9"/>
    </row>
    <row r="117" spans="5:6">
      <c r="E117" s="9"/>
      <c r="F117" s="9"/>
    </row>
    <row r="118" spans="5:6">
      <c r="E118" s="9"/>
      <c r="F118" s="9"/>
    </row>
    <row r="119" spans="5:6">
      <c r="E119" s="9"/>
      <c r="F119" s="9"/>
    </row>
    <row r="120" spans="5:6">
      <c r="E120" s="9"/>
      <c r="F120" s="9"/>
    </row>
    <row r="121" spans="5:6">
      <c r="E121" s="9"/>
      <c r="F121" s="9"/>
    </row>
    <row r="122" spans="5:6">
      <c r="E122" s="9"/>
      <c r="F122" s="9"/>
    </row>
    <row r="123" spans="5:6">
      <c r="E123" s="9"/>
      <c r="F123" s="9"/>
    </row>
    <row r="124" spans="5:6">
      <c r="E124" s="9"/>
      <c r="F124" s="9"/>
    </row>
    <row r="125" spans="5:6">
      <c r="E125" s="9"/>
      <c r="F125" s="9"/>
    </row>
    <row r="126" spans="5:6">
      <c r="E126" s="9"/>
      <c r="F126" s="9"/>
    </row>
    <row r="127" spans="5:6">
      <c r="E127" s="9"/>
      <c r="F127" s="9"/>
    </row>
    <row r="128" spans="5:6">
      <c r="E128" s="9"/>
      <c r="F128" s="9"/>
    </row>
    <row r="129" spans="5:6">
      <c r="E129" s="9"/>
      <c r="F129" s="9"/>
    </row>
    <row r="130" spans="5:6">
      <c r="E130" s="9"/>
      <c r="F130" s="9"/>
    </row>
    <row r="131" spans="5:6">
      <c r="E131" s="9"/>
      <c r="F131" s="9"/>
    </row>
    <row r="132" spans="5:6">
      <c r="E132" s="9"/>
      <c r="F132" s="9"/>
    </row>
    <row r="133" spans="5:6">
      <c r="E133" s="9"/>
      <c r="F133" s="9"/>
    </row>
    <row r="134" spans="5:6">
      <c r="E134" s="9"/>
      <c r="F134" s="9"/>
    </row>
    <row r="135" spans="5:6">
      <c r="E135" s="9"/>
      <c r="F135" s="9"/>
    </row>
    <row r="136" spans="5:6">
      <c r="E136" s="9"/>
      <c r="F136" s="9"/>
    </row>
    <row r="137" spans="5:6">
      <c r="E137" s="9"/>
      <c r="F137" s="9"/>
    </row>
    <row r="138" spans="5:6">
      <c r="E138" s="9"/>
      <c r="F138" s="9"/>
    </row>
    <row r="139" spans="5:6">
      <c r="E139" s="9"/>
      <c r="F139" s="9"/>
    </row>
    <row r="140" spans="5:6">
      <c r="E140" s="9"/>
      <c r="F140" s="9"/>
    </row>
    <row r="141" spans="5:6">
      <c r="E141" s="9"/>
      <c r="F141" s="9"/>
    </row>
    <row r="142" spans="5:6">
      <c r="E142" s="9"/>
      <c r="F142" s="9"/>
    </row>
    <row r="143" spans="5:6">
      <c r="E143" s="9"/>
      <c r="F143" s="9"/>
    </row>
    <row r="144" spans="5:6">
      <c r="E144" s="9"/>
      <c r="F144" s="9"/>
    </row>
    <row r="145" spans="5:6">
      <c r="E145" s="9"/>
      <c r="F145" s="9"/>
    </row>
    <row r="146" spans="5:6">
      <c r="E146" s="9"/>
      <c r="F146" s="9"/>
    </row>
    <row r="147" spans="5:6">
      <c r="E147" s="9"/>
      <c r="F147" s="9"/>
    </row>
    <row r="148" spans="5:6">
      <c r="E148" s="9"/>
      <c r="F148" s="9"/>
    </row>
    <row r="149" spans="5:6">
      <c r="E149" s="9"/>
      <c r="F149" s="9"/>
    </row>
    <row r="150" spans="5:6">
      <c r="E150" s="9"/>
      <c r="F150" s="9"/>
    </row>
    <row r="151" spans="5:6">
      <c r="E151" s="9"/>
      <c r="F151" s="9"/>
    </row>
    <row r="152" spans="5:6">
      <c r="E152" s="9"/>
      <c r="F152" s="9"/>
    </row>
    <row r="153" spans="5:6">
      <c r="E153" s="9"/>
      <c r="F153" s="9"/>
    </row>
    <row r="154" spans="5:6">
      <c r="E154" s="9"/>
      <c r="F154" s="9"/>
    </row>
    <row r="155" spans="5:6">
      <c r="E155" s="9"/>
      <c r="F155" s="9"/>
    </row>
    <row r="156" spans="5:6">
      <c r="E156" s="9"/>
      <c r="F156" s="9"/>
    </row>
    <row r="157" spans="5:6">
      <c r="E157" s="9"/>
      <c r="F157" s="9"/>
    </row>
    <row r="158" spans="5:6">
      <c r="E158" s="9"/>
      <c r="F158" s="9"/>
    </row>
    <row r="159" spans="5:6">
      <c r="E159" s="9"/>
      <c r="F159" s="9"/>
    </row>
    <row r="160" spans="5:6">
      <c r="E160" s="9"/>
      <c r="F160" s="9"/>
    </row>
    <row r="161" spans="5:6">
      <c r="E161" s="9"/>
      <c r="F161" s="9"/>
    </row>
    <row r="162" spans="5:6">
      <c r="E162" s="9"/>
      <c r="F162" s="9"/>
    </row>
    <row r="163" spans="5:6">
      <c r="E163" s="9"/>
      <c r="F163" s="9"/>
    </row>
    <row r="164" spans="5:6">
      <c r="E164" s="9"/>
      <c r="F164" s="9"/>
    </row>
    <row r="165" spans="5:6">
      <c r="E165" s="9"/>
      <c r="F165" s="9"/>
    </row>
    <row r="166" spans="5:6">
      <c r="E166" s="9"/>
      <c r="F166" s="9"/>
    </row>
    <row r="167" spans="5:6">
      <c r="E167" s="9"/>
      <c r="F167" s="9"/>
    </row>
    <row r="168" spans="5:6">
      <c r="E168" s="9"/>
      <c r="F168" s="9"/>
    </row>
    <row r="169" spans="5:6">
      <c r="E169" s="9"/>
      <c r="F169" s="9"/>
    </row>
    <row r="170" spans="5:6">
      <c r="E170" s="9"/>
      <c r="F170" s="9"/>
    </row>
    <row r="171" spans="5:6">
      <c r="E171" s="9"/>
      <c r="F171" s="9"/>
    </row>
    <row r="172" spans="5:6">
      <c r="E172" s="9"/>
      <c r="F172" s="9"/>
    </row>
    <row r="173" spans="5:6">
      <c r="E173" s="9"/>
      <c r="F173" s="9"/>
    </row>
    <row r="174" spans="5:6">
      <c r="E174" s="9"/>
      <c r="F174" s="9"/>
    </row>
    <row r="175" spans="5:6">
      <c r="E175" s="9"/>
      <c r="F175" s="9"/>
    </row>
    <row r="176" spans="5:6">
      <c r="E176" s="9"/>
      <c r="F176" s="9"/>
    </row>
    <row r="177" spans="5:6">
      <c r="E177" s="9"/>
      <c r="F177" s="9"/>
    </row>
    <row r="178" spans="5:6">
      <c r="E178" s="9"/>
      <c r="F178" s="9"/>
    </row>
    <row r="179" spans="5:6">
      <c r="E179" s="9"/>
      <c r="F179" s="9"/>
    </row>
    <row r="180" spans="5:6">
      <c r="E180" s="9"/>
      <c r="F180" s="9"/>
    </row>
    <row r="181" spans="5:6">
      <c r="E181" s="9"/>
      <c r="F181" s="9"/>
    </row>
    <row r="182" spans="5:6">
      <c r="E182" s="9"/>
      <c r="F182" s="9"/>
    </row>
    <row r="183" spans="5:6">
      <c r="E183" s="9"/>
      <c r="F183" s="9"/>
    </row>
    <row r="184" spans="5:6">
      <c r="E184" s="9"/>
      <c r="F184" s="9"/>
    </row>
    <row r="185" spans="5:6">
      <c r="E185" s="9"/>
      <c r="F185" s="9"/>
    </row>
    <row r="186" spans="5:6">
      <c r="E186" s="9"/>
      <c r="F186" s="9"/>
    </row>
    <row r="187" spans="5:6">
      <c r="E187" s="9"/>
      <c r="F187" s="9"/>
    </row>
    <row r="188" spans="5:6">
      <c r="E188" s="9"/>
      <c r="F188" s="9"/>
    </row>
    <row r="189" spans="5:6">
      <c r="E189" s="9"/>
      <c r="F189" s="9"/>
    </row>
    <row r="190" spans="5:6">
      <c r="E190" s="9"/>
      <c r="F190" s="9"/>
    </row>
    <row r="191" spans="5:6">
      <c r="E191" s="9"/>
      <c r="F191" s="9"/>
    </row>
    <row r="192" spans="5:6">
      <c r="E192" s="9"/>
      <c r="F192" s="9"/>
    </row>
    <row r="193" spans="5:6">
      <c r="E193" s="9"/>
      <c r="F193" s="9"/>
    </row>
    <row r="194" spans="5:6">
      <c r="E194" s="9"/>
      <c r="F194" s="9"/>
    </row>
    <row r="195" spans="5:6">
      <c r="E195" s="9"/>
      <c r="F195" s="9"/>
    </row>
    <row r="196" spans="5:6">
      <c r="E196" s="9"/>
      <c r="F196" s="9"/>
    </row>
    <row r="197" spans="5:6">
      <c r="E197" s="9"/>
      <c r="F197" s="9"/>
    </row>
    <row r="198" spans="5:6">
      <c r="E198" s="9"/>
      <c r="F198" s="9"/>
    </row>
    <row r="199" spans="5:6">
      <c r="E199" s="9"/>
      <c r="F199" s="9"/>
    </row>
    <row r="200" spans="5:6">
      <c r="E200" s="9"/>
      <c r="F200" s="9"/>
    </row>
    <row r="201" spans="5:6">
      <c r="E201" s="9"/>
      <c r="F201" s="9"/>
    </row>
  </sheetData>
  <mergeCells count="1">
    <mergeCell ref="H2:I2"/>
  </mergeCells>
  <conditionalFormatting sqref="A2:F31">
    <cfRule type="expression" dxfId="3" priority="2">
      <formula>$B2="Keluar"</formula>
    </cfRule>
    <cfRule type="expression" dxfId="2" priority="1">
      <formula>$B2="Masuk"</formula>
    </cfRule>
  </conditionalFormatting>
  <conditionalFormatting sqref="A32:F201">
    <cfRule type="expression" dxfId="2" priority="3">
      <formula>$B32="Masuk"</formula>
    </cfRule>
    <cfRule type="expression" dxfId="3" priority="4">
      <formula>$B32="Keluar"</formula>
    </cfRule>
  </conditionalFormatting>
  <dataValidations count="3">
    <dataValidation type="list" allowBlank="1" showInputMessage="1" showErrorMessage="1" sqref="B1:B31">
      <formula1>"keluar,masuk"</formula1>
    </dataValidation>
    <dataValidation type="list" sqref="B32:B201">
      <formula1>"Masuk,Keluar"</formula1>
    </dataValidation>
    <dataValidation type="list" sqref="C2:C201">
      <formula1>Kategori!$A$2:$A$12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R11" sqref="R11"/>
    </sheetView>
  </sheetViews>
  <sheetFormatPr defaultColWidth="9" defaultRowHeight="15" outlineLevelCol="3"/>
  <cols>
    <col min="1" max="4" width="20" customWidth="1"/>
  </cols>
  <sheetData>
    <row r="1" ht="21" spans="1:4">
      <c r="A1" s="5" t="s">
        <v>36</v>
      </c>
    </row>
    <row r="3" spans="1:4">
      <c r="A3" s="6" t="s">
        <v>37</v>
      </c>
      <c r="B3" s="6" t="s">
        <v>38</v>
      </c>
      <c r="C3" s="6" t="s">
        <v>39</v>
      </c>
      <c r="D3" s="6" t="s">
        <v>40</v>
      </c>
    </row>
    <row r="4" spans="1:4">
      <c r="A4" t="s">
        <v>41</v>
      </c>
      <c r="B4" s="7">
        <f>Januari!I3</f>
        <v>0</v>
      </c>
      <c r="C4" s="7">
        <f>Januari!I4</f>
        <v>0</v>
      </c>
      <c r="D4" s="7">
        <f>Januari!I5</f>
        <v>0</v>
      </c>
    </row>
    <row r="5" spans="1:4">
      <c r="A5" t="s">
        <v>42</v>
      </c>
      <c r="B5" s="7">
        <f>Februari!I3</f>
        <v>0</v>
      </c>
      <c r="C5" s="7">
        <f>Februari!I4</f>
        <v>0</v>
      </c>
      <c r="D5" s="7">
        <f>Februari!I5</f>
        <v>0</v>
      </c>
    </row>
    <row r="6" spans="1:4">
      <c r="A6" t="s">
        <v>43</v>
      </c>
      <c r="B6" s="7">
        <f>Maret!I3</f>
        <v>0</v>
      </c>
      <c r="C6" s="7">
        <f>Maret!I4</f>
        <v>0</v>
      </c>
      <c r="D6" s="7">
        <f>Maret!I5</f>
        <v>0</v>
      </c>
    </row>
    <row r="7" spans="1:4">
      <c r="A7" t="s">
        <v>44</v>
      </c>
      <c r="B7" s="7">
        <f>April!I3</f>
        <v>0</v>
      </c>
      <c r="C7" s="7">
        <f>April!I4</f>
        <v>0</v>
      </c>
      <c r="D7" s="7">
        <f>April!I5</f>
        <v>0</v>
      </c>
    </row>
    <row r="8" spans="1:4">
      <c r="A8" t="s">
        <v>45</v>
      </c>
      <c r="B8" s="7">
        <f>Mei!I3</f>
        <v>6570000</v>
      </c>
      <c r="C8" s="7">
        <f>Mei!I4</f>
        <v>2047100</v>
      </c>
      <c r="D8" s="7">
        <f>Mei!I5</f>
        <v>4522900</v>
      </c>
    </row>
    <row r="9" spans="1:4">
      <c r="A9" t="s">
        <v>46</v>
      </c>
      <c r="B9" s="7">
        <f>Juni!I3</f>
        <v>0</v>
      </c>
      <c r="C9" s="7">
        <f>Juni!I4</f>
        <v>0</v>
      </c>
      <c r="D9" s="7">
        <f>Juni!I5</f>
        <v>0</v>
      </c>
    </row>
    <row r="10" spans="1:4">
      <c r="A10" t="s">
        <v>47</v>
      </c>
      <c r="B10" s="7">
        <f>Juli!I3</f>
        <v>0</v>
      </c>
      <c r="C10" s="7">
        <f>Juli!I4</f>
        <v>0</v>
      </c>
      <c r="D10" s="7">
        <f>Juli!I5</f>
        <v>0</v>
      </c>
    </row>
    <row r="11" spans="1:4">
      <c r="A11" t="s">
        <v>48</v>
      </c>
      <c r="B11" s="7">
        <f>Agustus!I3</f>
        <v>0</v>
      </c>
      <c r="C11" s="7">
        <f>Agustus!I4</f>
        <v>0</v>
      </c>
      <c r="D11" s="7">
        <f>Agustus!I5</f>
        <v>0</v>
      </c>
    </row>
    <row r="12" spans="1:4">
      <c r="A12" t="s">
        <v>49</v>
      </c>
      <c r="B12" s="7">
        <f>September!I3</f>
        <v>0</v>
      </c>
      <c r="C12" s="7">
        <f>September!I4</f>
        <v>0</v>
      </c>
      <c r="D12" s="7">
        <f>September!I5</f>
        <v>0</v>
      </c>
    </row>
    <row r="13" spans="1:4">
      <c r="A13" t="s">
        <v>50</v>
      </c>
      <c r="B13" s="7">
        <f>Oktober!I3</f>
        <v>0</v>
      </c>
      <c r="C13" s="7">
        <f>Oktober!I4</f>
        <v>0</v>
      </c>
      <c r="D13" s="7">
        <f>Oktober!I5</f>
        <v>0</v>
      </c>
    </row>
    <row r="14" spans="1:4">
      <c r="A14" t="s">
        <v>51</v>
      </c>
      <c r="B14" s="7">
        <f>November!I3</f>
        <v>0</v>
      </c>
      <c r="C14" s="7">
        <f>November!I4</f>
        <v>0</v>
      </c>
      <c r="D14" s="7">
        <f>November!I5</f>
        <v>0</v>
      </c>
    </row>
    <row r="15" spans="1:4">
      <c r="A15" t="s">
        <v>52</v>
      </c>
      <c r="B15" s="7">
        <f>Desember!I3</f>
        <v>0</v>
      </c>
      <c r="C15" s="7">
        <f>Desember!I4</f>
        <v>0</v>
      </c>
      <c r="D15" s="7">
        <f>Desember!I5</f>
        <v>0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D8" sqref="D8"/>
    </sheetView>
  </sheetViews>
  <sheetFormatPr defaultColWidth="9.14285714285714" defaultRowHeight="15" outlineLevelCol="1"/>
  <cols>
    <col min="1" max="1" width="35.5714285714286" customWidth="1"/>
    <col min="2" max="2" width="12.2857142857143" customWidth="1"/>
  </cols>
  <sheetData>
    <row r="1" ht="23.25" spans="1:2">
      <c r="A1" s="1" t="s">
        <v>53</v>
      </c>
    </row>
    <row r="3" spans="1:2">
      <c r="A3" t="s">
        <v>54</v>
      </c>
      <c r="B3" t="s">
        <v>55</v>
      </c>
    </row>
    <row r="4" spans="1:2">
      <c r="A4" t="s">
        <v>41</v>
      </c>
      <c r="B4" s="2">
        <f>SUMIF(Januari!C:C,"Tabungan",Januari!E:E)</f>
        <v>0</v>
      </c>
    </row>
    <row r="5" spans="1:2">
      <c r="A5" t="s">
        <v>42</v>
      </c>
      <c r="B5" s="2">
        <f>SUMIF(Februari!C:C,"Tabungan",Februari!E:E)</f>
        <v>0</v>
      </c>
    </row>
    <row r="6" spans="1:2">
      <c r="A6" t="s">
        <v>43</v>
      </c>
      <c r="B6" s="2">
        <f>SUMIF(Maret!C:C,"Tabungan",Maret!E:E)</f>
        <v>0</v>
      </c>
    </row>
    <row r="7" spans="1:2">
      <c r="A7" t="s">
        <v>44</v>
      </c>
      <c r="B7" s="2">
        <f>SUMIF(April!C:C,"Tabungan",April!E:E)</f>
        <v>0</v>
      </c>
    </row>
    <row r="8" spans="1:2">
      <c r="A8" t="s">
        <v>45</v>
      </c>
      <c r="B8" s="2">
        <f>SUMIF(Mei!C:C,"Tabungan",Mei!E:E)</f>
        <v>0</v>
      </c>
    </row>
    <row r="9" spans="1:2">
      <c r="A9" t="s">
        <v>46</v>
      </c>
      <c r="B9" s="2">
        <f>SUMIF(Juni!C:C,"Tabungan",Juni!E:E)</f>
        <v>0</v>
      </c>
    </row>
    <row r="10" spans="1:2">
      <c r="A10" t="s">
        <v>47</v>
      </c>
      <c r="B10" s="2">
        <f>SUMIF(Juli!C:C,"Tabungan",Juli!E:E)</f>
        <v>0</v>
      </c>
    </row>
    <row r="11" spans="1:2">
      <c r="A11" t="s">
        <v>48</v>
      </c>
      <c r="B11" s="2">
        <f>SUMIF(Agustus!C:C,"Tabungan",Agustus!E:E)</f>
        <v>0</v>
      </c>
    </row>
    <row r="12" spans="1:2">
      <c r="A12" t="s">
        <v>49</v>
      </c>
      <c r="B12" s="2">
        <f>SUMIF(September!C:C,"Tabungan",September!E:E)</f>
        <v>0</v>
      </c>
    </row>
    <row r="13" spans="1:2">
      <c r="A13" t="s">
        <v>50</v>
      </c>
      <c r="B13" s="2">
        <f>SUMIF(Oktober!C:C,"Tabungan",Oktober!E:E)</f>
        <v>0</v>
      </c>
    </row>
    <row r="14" spans="1:2">
      <c r="A14" t="s">
        <v>51</v>
      </c>
      <c r="B14" s="2">
        <f>SUMIF(November!C:C,"Tabungan",November!E:E)</f>
        <v>0</v>
      </c>
    </row>
    <row r="15" spans="1:2">
      <c r="A15" t="s">
        <v>52</v>
      </c>
      <c r="B15" s="2">
        <f>SUMIF(Desember!C:C,"Tabungan",Desember!E:E)</f>
        <v>0</v>
      </c>
    </row>
    <row r="16" spans="1:2">
      <c r="A16" s="3" t="s">
        <v>56</v>
      </c>
      <c r="B16" s="4">
        <f>SUM(B4:B15)</f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Kategori</vt:lpstr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Dashboard</vt:lpstr>
      <vt:lpstr>Tabungan nikah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Rafli</cp:lastModifiedBy>
  <dcterms:created xsi:type="dcterms:W3CDTF">2026-05-12T16:46:00Z</dcterms:created>
  <dcterms:modified xsi:type="dcterms:W3CDTF">2026-05-14T10:17:05Z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186534B4DDA7414EB457A567AB086292_12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